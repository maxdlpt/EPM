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1_Work\QUAERO CAPITAL\DELAPORTE\5 - Playing Around With Excel\MAX Programs\DCF, RV, &amp; SOTP Analysis Model\"/>
    </mc:Choice>
  </mc:AlternateContent>
  <xr:revisionPtr revIDLastSave="0" documentId="13_ncr:1_{26E9E88F-CA5A-4918-870C-9040F65E56B6}" xr6:coauthVersionLast="47" xr6:coauthVersionMax="47" xr10:uidLastSave="{00000000-0000-0000-0000-000000000000}"/>
  <bookViews>
    <workbookView xWindow="-120" yWindow="-120" windowWidth="29040" windowHeight="15840" xr2:uid="{581F5A20-90C6-41C4-B4A8-6D67F9FF43AB}"/>
  </bookViews>
  <sheets>
    <sheet name="P&amp;L" sheetId="1" r:id="rId1"/>
    <sheet name="DCF" sheetId="4" r:id="rId2"/>
    <sheet name="RV" sheetId="6" r:id="rId3"/>
    <sheet name="SOTP" sheetId="7" r:id="rId4"/>
    <sheet name="FINAL" sheetId="8" r:id="rId5"/>
  </sheets>
  <definedNames>
    <definedName name="BloomEstimatesInput">'P&amp;L'!$O$8:$Q$8,'P&amp;L'!$O$12:$Q$12,'P&amp;L'!$O$25:$Q$25,'P&amp;L'!$O$45:$Q$45</definedName>
    <definedName name="CostOfRev">'P&amp;L'!$C$10:$I$10,'P&amp;L'!$K$10:$N$10,'P&amp;L'!$P$10:$Q$10</definedName>
    <definedName name="FinanceNetIncome">'P&amp;L'!$C$29:$I$31,'P&amp;L'!$K$29:$N$31,'P&amp;L'!$P$29:$Q$31</definedName>
    <definedName name="IncomeTaxBenefit">'P&amp;L'!$C$35:$I$35,'P&amp;L'!$K$35:$N$35,'P&amp;L'!$P$35:$Q$35</definedName>
    <definedName name="NbDilutedSharesOutstanding">'P&amp;L'!$C$43:$I$43,'P&amp;L'!$K$43:$N$43,'P&amp;L'!$P$43:$Q$43</definedName>
    <definedName name="NetIncome_OtherAdjustments">'P&amp;L'!$C$40:$I$40,'P&amp;L'!$K$40:$N$40,'P&amp;L'!$P$40:$Q$40</definedName>
    <definedName name="OperatingExpenses">'P&amp;L'!$C$17:$I$19,'P&amp;L'!$K$17:$N$19,'P&amp;L'!$P$17:$Q$19</definedName>
    <definedName name="OpExp_OtherAdjustments">'P&amp;L'!$C$23:$I$23,'P&amp;L'!$K$23:$N$23,'P&amp;L'!$P$23:$Q$23</definedName>
    <definedName name="TotalRev">'P&amp;L'!$C$6:$I$6,'P&amp;L'!$K$6:$N$6,'P&amp;L'!$P$6:$Q$6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4" l="1" a="1"/>
  <c r="H28" i="4" s="1"/>
  <c r="E64" i="6" a="1"/>
  <c r="E64" i="6" s="1"/>
  <c r="D12" i="6" a="1"/>
  <c r="D12" i="6" s="1"/>
  <c r="E12" i="6" a="1"/>
  <c r="E12" i="6" s="1"/>
  <c r="F12" i="6" a="1"/>
  <c r="F12" i="6" s="1"/>
  <c r="G12" i="6" a="1"/>
  <c r="G12" i="6" s="1"/>
  <c r="D13" i="6" a="1"/>
  <c r="D13" i="6" s="1"/>
  <c r="E13" i="6" a="1"/>
  <c r="E13" i="6" s="1"/>
  <c r="F13" i="6" a="1"/>
  <c r="F13" i="6" s="1"/>
  <c r="G13" i="6" a="1"/>
  <c r="G13" i="6" s="1"/>
  <c r="D14" i="6" a="1"/>
  <c r="D14" i="6" s="1"/>
  <c r="E14" i="6" a="1"/>
  <c r="E14" i="6" s="1"/>
  <c r="F14" i="6" a="1"/>
  <c r="F14" i="6" s="1"/>
  <c r="G14" i="6" a="1"/>
  <c r="G14" i="6" s="1"/>
  <c r="D15" i="6" a="1"/>
  <c r="D15" i="6" s="1"/>
  <c r="E15" i="6" a="1"/>
  <c r="E15" i="6" s="1"/>
  <c r="F15" i="6" a="1"/>
  <c r="F15" i="6" s="1"/>
  <c r="G15" i="6" a="1"/>
  <c r="G15" i="6" s="1"/>
  <c r="D16" i="6" a="1"/>
  <c r="D16" i="6" s="1"/>
  <c r="E16" i="6" a="1"/>
  <c r="E16" i="6" s="1"/>
  <c r="F16" i="6" a="1"/>
  <c r="F16" i="6" s="1"/>
  <c r="G16" i="6" a="1"/>
  <c r="G16" i="6" s="1"/>
  <c r="D17" i="6" a="1"/>
  <c r="D17" i="6" s="1"/>
  <c r="E17" i="6" a="1"/>
  <c r="E17" i="6" s="1"/>
  <c r="F17" i="6" a="1"/>
  <c r="F17" i="6" s="1"/>
  <c r="G17" i="6" a="1"/>
  <c r="G17" i="6" s="1"/>
  <c r="D18" i="6" a="1"/>
  <c r="D18" i="6" s="1"/>
  <c r="E18" i="6" a="1"/>
  <c r="E18" i="6" s="1"/>
  <c r="F18" i="6" a="1"/>
  <c r="F18" i="6" s="1"/>
  <c r="G18" i="6" a="1"/>
  <c r="G18" i="6" s="1"/>
  <c r="D19" i="6" a="1"/>
  <c r="D19" i="6" s="1"/>
  <c r="E19" i="6" a="1"/>
  <c r="E19" i="6" s="1"/>
  <c r="F19" i="6" a="1"/>
  <c r="F19" i="6" s="1"/>
  <c r="G19" i="6" a="1"/>
  <c r="G19" i="6" s="1"/>
  <c r="D20" i="6" a="1"/>
  <c r="D20" i="6" s="1"/>
  <c r="E20" i="6" a="1"/>
  <c r="E20" i="6" s="1"/>
  <c r="F20" i="6" a="1"/>
  <c r="F20" i="6" s="1"/>
  <c r="G20" i="6" a="1"/>
  <c r="G20" i="6" s="1"/>
  <c r="D21" i="6" a="1"/>
  <c r="D21" i="6" s="1"/>
  <c r="E21" i="6" a="1"/>
  <c r="E21" i="6" s="1"/>
  <c r="F21" i="6" a="1"/>
  <c r="F21" i="6" s="1"/>
  <c r="G21" i="6" a="1"/>
  <c r="G21" i="6" s="1"/>
  <c r="D22" i="6" a="1"/>
  <c r="D22" i="6" s="1"/>
  <c r="E22" i="6" a="1"/>
  <c r="E22" i="6" s="1"/>
  <c r="F22" i="6" a="1"/>
  <c r="F22" i="6" s="1"/>
  <c r="G22" i="6" a="1"/>
  <c r="G22" i="6" s="1"/>
  <c r="D23" i="6" a="1"/>
  <c r="D23" i="6" s="1"/>
  <c r="E23" i="6" a="1"/>
  <c r="E23" i="6" s="1"/>
  <c r="F23" i="6" a="1"/>
  <c r="F23" i="6" s="1"/>
  <c r="G23" i="6" a="1"/>
  <c r="G23" i="6" s="1"/>
  <c r="D24" i="6" a="1"/>
  <c r="D24" i="6" s="1"/>
  <c r="E24" i="6" a="1"/>
  <c r="E24" i="6" s="1"/>
  <c r="F24" i="6" a="1"/>
  <c r="F24" i="6" s="1"/>
  <c r="G24" i="6" a="1"/>
  <c r="G24" i="6" s="1"/>
  <c r="D25" i="6" a="1"/>
  <c r="D25" i="6" s="1"/>
  <c r="E25" i="6" a="1"/>
  <c r="E25" i="6" s="1"/>
  <c r="F25" i="6" a="1"/>
  <c r="F25" i="6" s="1"/>
  <c r="G25" i="6" a="1"/>
  <c r="G25" i="6" s="1"/>
  <c r="D26" i="6" a="1"/>
  <c r="D26" i="6" s="1"/>
  <c r="E26" i="6" a="1"/>
  <c r="E26" i="6" s="1"/>
  <c r="F26" i="6" a="1"/>
  <c r="F26" i="6" s="1"/>
  <c r="G26" i="6" a="1"/>
  <c r="G26" i="6" s="1"/>
  <c r="D27" i="6" a="1"/>
  <c r="D27" i="6" s="1"/>
  <c r="E27" i="6" a="1"/>
  <c r="E27" i="6" s="1"/>
  <c r="F27" i="6" a="1"/>
  <c r="F27" i="6" s="1"/>
  <c r="G27" i="6" a="1"/>
  <c r="G27" i="6" s="1"/>
  <c r="D28" i="6" a="1"/>
  <c r="D28" i="6" s="1"/>
  <c r="E28" i="6" a="1"/>
  <c r="E28" i="6" s="1"/>
  <c r="F28" i="6" a="1"/>
  <c r="F28" i="6" s="1"/>
  <c r="G28" i="6" a="1"/>
  <c r="G28" i="6" s="1"/>
  <c r="D29" i="6" a="1"/>
  <c r="D29" i="6" s="1"/>
  <c r="E29" i="6" a="1"/>
  <c r="E29" i="6" s="1"/>
  <c r="F29" i="6" a="1"/>
  <c r="F29" i="6" s="1"/>
  <c r="G29" i="6" a="1"/>
  <c r="G29" i="6" s="1"/>
  <c r="E11" i="6" a="1"/>
  <c r="E11" i="6" s="1"/>
  <c r="F11" i="6" a="1"/>
  <c r="F11" i="6" s="1"/>
  <c r="G11" i="6" a="1"/>
  <c r="G11" i="6" s="1"/>
  <c r="G10" i="6" a="1"/>
  <c r="G10" i="6" s="1"/>
  <c r="K19" i="6" a="1"/>
  <c r="K19" i="6" s="1"/>
  <c r="J19" i="6" a="1"/>
  <c r="J19" i="6" s="1"/>
  <c r="N10" i="6" a="1"/>
  <c r="N10" i="6" s="1"/>
  <c r="P15" i="6" a="1"/>
  <c r="P15" i="6" s="1"/>
  <c r="O20" i="6" a="1"/>
  <c r="O20" i="6" s="1"/>
  <c r="I13" i="6" a="1"/>
  <c r="I13" i="6" s="1"/>
  <c r="I18" i="6" a="1"/>
  <c r="I18" i="6" s="1"/>
  <c r="I12" i="6" a="1"/>
  <c r="I12" i="6" s="1"/>
  <c r="I15" i="6" a="1"/>
  <c r="I15" i="6" s="1"/>
  <c r="K18" i="6" a="1"/>
  <c r="K18" i="6" s="1"/>
  <c r="J20" i="6" a="1"/>
  <c r="J20" i="6" s="1"/>
  <c r="N15" i="6" a="1"/>
  <c r="N15" i="6" s="1"/>
  <c r="N20" i="6" a="1"/>
  <c r="N20" i="6" s="1"/>
  <c r="J18" i="6" a="1"/>
  <c r="J18" i="6" s="1"/>
  <c r="I19" i="6" a="1"/>
  <c r="I19" i="6" s="1"/>
  <c r="O16" i="6" a="1"/>
  <c r="O16" i="6" s="1"/>
  <c r="P18" i="6" a="1"/>
  <c r="P18" i="6" s="1"/>
  <c r="O18" i="6" a="1"/>
  <c r="O18" i="6" s="1"/>
  <c r="M19" i="6" a="1"/>
  <c r="M19" i="6" s="1"/>
  <c r="O13" i="6" a="1"/>
  <c r="O13" i="6" s="1"/>
  <c r="L15" i="6" a="1"/>
  <c r="L15" i="6" s="1"/>
  <c r="P16" i="6" a="1"/>
  <c r="P16" i="6" s="1"/>
  <c r="N11" i="6" a="1"/>
  <c r="N11" i="6" s="1"/>
  <c r="K13" i="6" a="1"/>
  <c r="K13" i="6" s="1"/>
  <c r="P12" i="6" a="1"/>
  <c r="P12" i="6" s="1"/>
  <c r="P19" i="6" a="1"/>
  <c r="P19" i="6" s="1"/>
  <c r="M18" i="6" a="1"/>
  <c r="M18" i="6" s="1"/>
  <c r="N12" i="6" a="1"/>
  <c r="N12" i="6" s="1"/>
  <c r="P10" i="6" a="1"/>
  <c r="P10" i="6" s="1"/>
  <c r="J15" i="6" a="1"/>
  <c r="J15" i="6" s="1"/>
  <c r="K20" i="6" a="1"/>
  <c r="K20" i="6" s="1"/>
  <c r="M17" i="6" a="1"/>
  <c r="M17" i="6" s="1"/>
  <c r="P17" i="6" a="1"/>
  <c r="P17" i="6" s="1"/>
  <c r="L13" i="6" a="1"/>
  <c r="L13" i="6" s="1"/>
  <c r="M15" i="6" a="1"/>
  <c r="M15" i="6" s="1"/>
  <c r="O15" i="6" a="1"/>
  <c r="O15" i="6" s="1"/>
  <c r="K16" i="6" a="1"/>
  <c r="K16" i="6" s="1"/>
  <c r="P13" i="6" a="1"/>
  <c r="P13" i="6" s="1"/>
  <c r="L12" i="6" a="1"/>
  <c r="L12" i="6" s="1"/>
  <c r="I16" i="6" a="1"/>
  <c r="I16" i="6" s="1"/>
  <c r="I17" i="6" a="1"/>
  <c r="I17" i="6" s="1"/>
  <c r="M20" i="6" a="1"/>
  <c r="M20" i="6" s="1"/>
  <c r="M12" i="6" a="1"/>
  <c r="M12" i="6" s="1"/>
  <c r="L10" i="6" a="1"/>
  <c r="L10" i="6" s="1"/>
  <c r="I10" i="6" a="1"/>
  <c r="I10" i="6" s="1"/>
  <c r="O10" i="6" a="1"/>
  <c r="O10" i="6" s="1"/>
  <c r="I20" i="6" a="1"/>
  <c r="I20" i="6" s="1"/>
  <c r="K15" i="6" a="1"/>
  <c r="K15" i="6" s="1"/>
  <c r="P20" i="6" a="1"/>
  <c r="P20" i="6" s="1"/>
  <c r="J16" i="6" a="1"/>
  <c r="J16" i="6" s="1"/>
  <c r="M13" i="6" a="1"/>
  <c r="M13" i="6" s="1"/>
  <c r="L11" i="6" a="1"/>
  <c r="L11" i="6" s="1"/>
  <c r="N16" i="6" a="1"/>
  <c r="N16" i="6" s="1"/>
  <c r="L16" i="6" a="1"/>
  <c r="L16" i="6" s="1"/>
  <c r="I11" i="6" a="1"/>
  <c r="I11" i="6" s="1"/>
  <c r="J11" i="6" a="1"/>
  <c r="J11" i="6" s="1"/>
  <c r="J12" i="6" a="1"/>
  <c r="J12" i="6" s="1"/>
  <c r="O12" i="6" a="1"/>
  <c r="O12" i="6" s="1"/>
  <c r="P11" i="6" a="1"/>
  <c r="P11" i="6" s="1"/>
  <c r="D10" i="6" a="1"/>
  <c r="D10" i="6" s="1"/>
  <c r="M16" i="6" a="1"/>
  <c r="M16" i="6" s="1"/>
  <c r="O19" i="6" a="1"/>
  <c r="O19" i="6" s="1"/>
  <c r="D11" i="6" a="1"/>
  <c r="D11" i="6" s="1"/>
  <c r="N17" i="6" a="1"/>
  <c r="N17" i="6" s="1"/>
  <c r="K11" i="6" a="1"/>
  <c r="K11" i="6" s="1"/>
  <c r="O11" i="6" a="1"/>
  <c r="O11" i="6" s="1"/>
  <c r="L20" i="6" a="1"/>
  <c r="L20" i="6" s="1"/>
  <c r="M10" i="6" a="1"/>
  <c r="M10" i="6" s="1"/>
  <c r="J13" i="6" a="1"/>
  <c r="J13" i="6" s="1"/>
  <c r="M11" i="6" a="1"/>
  <c r="M11" i="6" s="1"/>
  <c r="K17" i="6" a="1"/>
  <c r="K17" i="6" s="1"/>
  <c r="L19" i="6" a="1"/>
  <c r="L19" i="6" s="1"/>
  <c r="L18" i="6" a="1"/>
  <c r="L18" i="6" s="1"/>
  <c r="J10" i="6" a="1"/>
  <c r="J10" i="6" s="1"/>
  <c r="J17" i="6" a="1"/>
  <c r="J17" i="6" s="1"/>
  <c r="K12" i="6" a="1"/>
  <c r="K12" i="6" s="1"/>
  <c r="K10" i="6" a="1"/>
  <c r="K10" i="6" s="1"/>
  <c r="N13" i="6" a="1"/>
  <c r="N13" i="6" s="1"/>
  <c r="O17" i="6" a="1"/>
  <c r="O17" i="6" s="1"/>
  <c r="N19" i="6" a="1"/>
  <c r="N19" i="6" s="1"/>
  <c r="E10" i="6" a="1"/>
  <c r="E10" i="6" s="1"/>
  <c r="N18" i="6" a="1"/>
  <c r="N18" i="6" s="1"/>
  <c r="L17" i="6" a="1"/>
  <c r="L17" i="6" s="1"/>
  <c r="N64" i="6" a="1"/>
  <c r="N64" i="6" s="1"/>
  <c r="D51" i="6" a="1"/>
  <c r="D51" i="6" s="1"/>
  <c r="G64" i="6" a="1"/>
  <c r="G64" i="6" s="1"/>
  <c r="N26" i="4" a="1"/>
  <c r="N26" i="4" s="1"/>
  <c r="J64" i="6" a="1"/>
  <c r="J64" i="6" s="1"/>
  <c r="N33" i="4" a="1"/>
  <c r="N33" i="4" s="1"/>
  <c r="K64" i="6" a="1"/>
  <c r="K64" i="6" s="1"/>
  <c r="M64" i="6" a="1"/>
  <c r="M64" i="6" s="1"/>
  <c r="L64" i="6" a="1"/>
  <c r="L64" i="6" s="1"/>
  <c r="N30" i="4" a="1"/>
  <c r="N30" i="4" s="1"/>
  <c r="I64" i="6" a="1"/>
  <c r="I64" i="6" s="1"/>
  <c r="P64" i="6" a="1"/>
  <c r="P64" i="6" s="1"/>
  <c r="N27" i="4" a="1"/>
  <c r="N27" i="4" s="1"/>
  <c r="N35" i="4" a="1"/>
  <c r="N35" i="4" s="1"/>
  <c r="N29" i="4" a="1"/>
  <c r="N29" i="4" s="1"/>
  <c r="N32" i="4" a="1"/>
  <c r="N32" i="4" s="1"/>
  <c r="O64" i="6" a="1"/>
  <c r="O64" i="6" s="1"/>
  <c r="N14" i="6" a="1"/>
  <c r="N14" i="6" s="1"/>
  <c r="L14" i="6" a="1"/>
  <c r="L14" i="6" s="1"/>
  <c r="M14" i="6" a="1"/>
  <c r="M14" i="6" s="1"/>
  <c r="K14" i="6" a="1"/>
  <c r="K14" i="6" s="1"/>
  <c r="O14" i="6" a="1"/>
  <c r="O14" i="6" s="1"/>
  <c r="P14" i="6" a="1"/>
  <c r="P14" i="6" s="1"/>
  <c r="J14" i="6" a="1"/>
  <c r="J14" i="6" s="1"/>
  <c r="I14" i="6" a="1"/>
  <c r="I14" i="6" s="1"/>
  <c r="N31" i="4" a="1"/>
  <c r="N31" i="4" s="1"/>
  <c r="F10" i="6" a="1"/>
  <c r="F10" i="6" s="1"/>
  <c r="F64" i="6" a="1"/>
  <c r="F64" i="6" s="1"/>
  <c r="N20" i="7"/>
  <c r="D13" i="8"/>
  <c r="D14" i="8"/>
  <c r="D12" i="8"/>
  <c r="N2" i="7"/>
  <c r="G43" i="7"/>
  <c r="H43" i="7" s="1"/>
  <c r="M28" i="7"/>
  <c r="M27" i="7"/>
  <c r="N11" i="7"/>
  <c r="N12" i="7"/>
  <c r="N13" i="7"/>
  <c r="N14" i="7"/>
  <c r="N15" i="7"/>
  <c r="N16" i="7"/>
  <c r="N17" i="7"/>
  <c r="N18" i="7"/>
  <c r="N19" i="7"/>
  <c r="N21" i="7"/>
  <c r="N22" i="7"/>
  <c r="N23" i="7"/>
  <c r="N10" i="7"/>
  <c r="K9" i="7"/>
  <c r="L9" i="7" s="1"/>
  <c r="I9" i="7"/>
  <c r="J9" i="7" s="1"/>
  <c r="G9" i="7"/>
  <c r="H9" i="7" s="1"/>
  <c r="E53" i="6"/>
  <c r="E57" i="6" s="1"/>
  <c r="E54" i="6"/>
  <c r="E58" i="6" s="1"/>
  <c r="M24" i="7" l="1"/>
  <c r="L29" i="7" s="1"/>
  <c r="M29" i="7" s="1"/>
  <c r="N24" i="7"/>
  <c r="L31" i="7" l="1"/>
  <c r="M31" i="7" s="1"/>
  <c r="L33" i="7" l="1"/>
  <c r="N4" i="7" s="1"/>
  <c r="E14" i="8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N21" i="6" a="1"/>
  <c r="N21" i="6" s="1"/>
  <c r="O21" i="6" a="1"/>
  <c r="O21" i="6" s="1"/>
  <c r="P21" i="6" a="1"/>
  <c r="P21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N22" i="6" a="1"/>
  <c r="N22" i="6" s="1"/>
  <c r="O22" i="6" a="1"/>
  <c r="O22" i="6" s="1"/>
  <c r="P22" i="6" a="1"/>
  <c r="P22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N23" i="6" a="1"/>
  <c r="N23" i="6" s="1"/>
  <c r="O23" i="6" a="1"/>
  <c r="O23" i="6" s="1"/>
  <c r="P23" i="6" a="1"/>
  <c r="P23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N24" i="6" a="1"/>
  <c r="N24" i="6" s="1"/>
  <c r="O24" i="6" a="1"/>
  <c r="O24" i="6" s="1"/>
  <c r="P24" i="6" a="1"/>
  <c r="P24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N25" i="6" a="1"/>
  <c r="N25" i="6" s="1"/>
  <c r="O25" i="6" a="1"/>
  <c r="O25" i="6" s="1"/>
  <c r="P25" i="6" a="1"/>
  <c r="P25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N26" i="6" a="1"/>
  <c r="N26" i="6" s="1"/>
  <c r="O26" i="6" a="1"/>
  <c r="O26" i="6" s="1"/>
  <c r="P26" i="6" a="1"/>
  <c r="P26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N27" i="6" a="1"/>
  <c r="N27" i="6" s="1"/>
  <c r="O27" i="6" a="1"/>
  <c r="O27" i="6" s="1"/>
  <c r="P27" i="6" a="1"/>
  <c r="P27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N28" i="6" a="1"/>
  <c r="N28" i="6" s="1"/>
  <c r="O28" i="6" a="1"/>
  <c r="O28" i="6" s="1"/>
  <c r="P28" i="6" a="1"/>
  <c r="P28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N29" i="6" a="1"/>
  <c r="N29" i="6" s="1"/>
  <c r="O29" i="6" a="1"/>
  <c r="O29" i="6" s="1"/>
  <c r="P29" i="6" a="1"/>
  <c r="P29" i="6" s="1"/>
  <c r="F4" i="6" l="1"/>
  <c r="D64" i="6"/>
  <c r="C51" i="6"/>
  <c r="I54" i="6"/>
  <c r="I58" i="6" s="1"/>
  <c r="J54" i="6"/>
  <c r="J58" i="6" s="1"/>
  <c r="K54" i="6"/>
  <c r="K58" i="6" s="1"/>
  <c r="L54" i="6"/>
  <c r="L58" i="6" s="1"/>
  <c r="M54" i="6"/>
  <c r="M58" i="6" s="1"/>
  <c r="N54" i="6"/>
  <c r="N58" i="6" s="1"/>
  <c r="O54" i="6"/>
  <c r="O58" i="6" s="1"/>
  <c r="P54" i="6"/>
  <c r="P58" i="6" s="1"/>
  <c r="J53" i="6"/>
  <c r="J57" i="6" s="1"/>
  <c r="K53" i="6"/>
  <c r="K57" i="6" s="1"/>
  <c r="L53" i="6"/>
  <c r="L57" i="6" s="1"/>
  <c r="M53" i="6"/>
  <c r="M57" i="6" s="1"/>
  <c r="N53" i="6"/>
  <c r="N57" i="6" s="1"/>
  <c r="O53" i="6"/>
  <c r="O57" i="6" s="1"/>
  <c r="P53" i="6"/>
  <c r="P57" i="6" s="1"/>
  <c r="I53" i="6"/>
  <c r="I57" i="6" s="1"/>
  <c r="O8" i="6"/>
  <c r="P8" i="6" s="1"/>
  <c r="M8" i="6"/>
  <c r="N8" i="6" s="1"/>
  <c r="K8" i="6"/>
  <c r="L8" i="6" s="1"/>
  <c r="I8" i="6"/>
  <c r="J8" i="6" s="1"/>
  <c r="O43" i="1"/>
  <c r="J43" i="1"/>
  <c r="O40" i="1"/>
  <c r="J40" i="1"/>
  <c r="O35" i="1"/>
  <c r="J35" i="1"/>
  <c r="O31" i="1"/>
  <c r="J31" i="1"/>
  <c r="O30" i="1"/>
  <c r="J30" i="1"/>
  <c r="O29" i="1"/>
  <c r="J29" i="1"/>
  <c r="O23" i="1"/>
  <c r="J23" i="1"/>
  <c r="O19" i="1"/>
  <c r="J19" i="1"/>
  <c r="O18" i="1"/>
  <c r="J18" i="1"/>
  <c r="O17" i="1"/>
  <c r="J17" i="1"/>
  <c r="O10" i="1"/>
  <c r="J10" i="1"/>
  <c r="O6" i="1"/>
  <c r="J6" i="1"/>
  <c r="E61" i="6" l="1"/>
  <c r="E62" i="6"/>
  <c r="P3" i="6" s="1"/>
  <c r="F13" i="8" s="1"/>
  <c r="P4" i="6"/>
  <c r="G4" i="4"/>
  <c r="M28" i="4"/>
  <c r="M29" i="4" s="1"/>
  <c r="M30" i="4" l="1"/>
  <c r="L27" i="4"/>
  <c r="M34" i="4"/>
  <c r="L30" i="4" l="1"/>
  <c r="F39" i="4"/>
  <c r="E39" i="4"/>
  <c r="F38" i="4"/>
  <c r="E38" i="4"/>
  <c r="E37" i="4"/>
  <c r="E36" i="4"/>
  <c r="F35" i="4"/>
  <c r="E35" i="4"/>
  <c r="F34" i="4"/>
  <c r="E34" i="4"/>
  <c r="F33" i="4"/>
  <c r="E33" i="4"/>
  <c r="E40" i="4" l="1"/>
  <c r="L31" i="4"/>
  <c r="G8" i="4" l="1"/>
  <c r="F8" i="4"/>
  <c r="C7" i="4"/>
  <c r="E7" i="4" s="1"/>
  <c r="F21" i="4" s="1"/>
  <c r="F7" i="4" l="1"/>
  <c r="G21" i="4" s="1"/>
  <c r="F28" i="4"/>
  <c r="L33" i="4"/>
  <c r="L35" i="4"/>
  <c r="F16" i="4"/>
  <c r="G16" i="4"/>
  <c r="H8" i="4"/>
  <c r="N5" i="1"/>
  <c r="M5" i="1"/>
  <c r="L5" i="1"/>
  <c r="I5" i="1"/>
  <c r="H5" i="1"/>
  <c r="G5" i="1"/>
  <c r="F5" i="1"/>
  <c r="K5" i="1"/>
  <c r="C5" i="1"/>
  <c r="D5" i="1"/>
  <c r="E5" i="1"/>
  <c r="J5" i="1"/>
  <c r="P3" i="4" l="1"/>
  <c r="E10" i="8" s="1"/>
  <c r="G7" i="4"/>
  <c r="N28" i="4"/>
  <c r="L26" i="4"/>
  <c r="L32" i="4"/>
  <c r="N34" i="4"/>
  <c r="L34" i="4" s="1"/>
  <c r="H16" i="4"/>
  <c r="H11" i="4"/>
  <c r="I8" i="4"/>
  <c r="Q20" i="1"/>
  <c r="P20" i="1"/>
  <c r="N20" i="1"/>
  <c r="M20" i="1"/>
  <c r="L20" i="1"/>
  <c r="K20" i="1"/>
  <c r="I20" i="1"/>
  <c r="H20" i="1"/>
  <c r="G20" i="1"/>
  <c r="F20" i="1"/>
  <c r="E20" i="1"/>
  <c r="F36" i="4"/>
  <c r="K32" i="1"/>
  <c r="L32" i="1"/>
  <c r="M32" i="1"/>
  <c r="N32" i="1"/>
  <c r="P32" i="1"/>
  <c r="Q32" i="1"/>
  <c r="D32" i="1"/>
  <c r="E32" i="1"/>
  <c r="F32" i="1"/>
  <c r="G32" i="1"/>
  <c r="H32" i="1"/>
  <c r="I32" i="1"/>
  <c r="C32" i="1"/>
  <c r="C8" i="4"/>
  <c r="C16" i="4" s="1"/>
  <c r="E8" i="4"/>
  <c r="E16" i="4" s="1"/>
  <c r="E13" i="8" l="1"/>
  <c r="N3" i="7"/>
  <c r="N5" i="7" s="1"/>
  <c r="F14" i="8" s="1"/>
  <c r="H7" i="4"/>
  <c r="N36" i="4"/>
  <c r="I16" i="4"/>
  <c r="I11" i="4"/>
  <c r="J8" i="4"/>
  <c r="E7" i="1"/>
  <c r="D7" i="1"/>
  <c r="Q5" i="1"/>
  <c r="P5" i="1"/>
  <c r="I7" i="4" l="1"/>
  <c r="J16" i="4"/>
  <c r="J11" i="4"/>
  <c r="K8" i="4"/>
  <c r="P14" i="1"/>
  <c r="Q14" i="1"/>
  <c r="O14" i="1"/>
  <c r="P27" i="1"/>
  <c r="Q27" i="1"/>
  <c r="O27" i="1"/>
  <c r="O5" i="1"/>
  <c r="J20" i="1" l="1"/>
  <c r="O32" i="1"/>
  <c r="O20" i="1"/>
  <c r="J32" i="1"/>
  <c r="J7" i="4"/>
  <c r="K16" i="4"/>
  <c r="K11" i="4"/>
  <c r="L8" i="4"/>
  <c r="F37" i="4"/>
  <c r="C34" i="4" s="1"/>
  <c r="K7" i="4" l="1"/>
  <c r="L16" i="4"/>
  <c r="L11" i="4"/>
  <c r="M8" i="4"/>
  <c r="D20" i="1"/>
  <c r="D21" i="1" s="1"/>
  <c r="E21" i="1"/>
  <c r="F21" i="1"/>
  <c r="G21" i="1"/>
  <c r="H21" i="1"/>
  <c r="I21" i="1"/>
  <c r="C20" i="1"/>
  <c r="C21" i="1" s="1"/>
  <c r="F11" i="1"/>
  <c r="I11" i="1"/>
  <c r="L7" i="4" l="1"/>
  <c r="M16" i="4"/>
  <c r="M11" i="4"/>
  <c r="N8" i="4"/>
  <c r="M7" i="1"/>
  <c r="N7" i="1"/>
  <c r="K7" i="1"/>
  <c r="L7" i="1"/>
  <c r="Q7" i="1"/>
  <c r="G9" i="4" s="1"/>
  <c r="I13" i="1"/>
  <c r="I22" i="1"/>
  <c r="I24" i="1" s="1"/>
  <c r="I26" i="1" s="1"/>
  <c r="F13" i="1"/>
  <c r="F22" i="1"/>
  <c r="N11" i="1"/>
  <c r="L11" i="1"/>
  <c r="M11" i="1"/>
  <c r="K21" i="1"/>
  <c r="M21" i="1"/>
  <c r="Q21" i="1"/>
  <c r="P21" i="1"/>
  <c r="L21" i="1"/>
  <c r="N21" i="1"/>
  <c r="P11" i="1"/>
  <c r="K11" i="1"/>
  <c r="Q11" i="1"/>
  <c r="H11" i="1"/>
  <c r="G11" i="1"/>
  <c r="P7" i="1"/>
  <c r="F9" i="4" s="1"/>
  <c r="M7" i="4" l="1"/>
  <c r="N16" i="4"/>
  <c r="N11" i="4"/>
  <c r="O8" i="4"/>
  <c r="Q13" i="1"/>
  <c r="Q22" i="1"/>
  <c r="P13" i="1"/>
  <c r="P22" i="1"/>
  <c r="F24" i="1"/>
  <c r="F26" i="1" s="1"/>
  <c r="F34" i="1"/>
  <c r="J21" i="1"/>
  <c r="O7" i="1"/>
  <c r="E9" i="4" s="1"/>
  <c r="O21" i="1"/>
  <c r="I34" i="1"/>
  <c r="M13" i="1"/>
  <c r="M22" i="1"/>
  <c r="K13" i="1"/>
  <c r="K22" i="1"/>
  <c r="G13" i="1"/>
  <c r="G22" i="1"/>
  <c r="L13" i="1"/>
  <c r="L22" i="1"/>
  <c r="H13" i="1"/>
  <c r="H22" i="1"/>
  <c r="N13" i="1"/>
  <c r="N22" i="1"/>
  <c r="N34" i="1" s="1"/>
  <c r="N37" i="1" s="1"/>
  <c r="N39" i="1" s="1"/>
  <c r="J11" i="1"/>
  <c r="D11" i="1"/>
  <c r="O11" i="1"/>
  <c r="O13" i="1" s="1"/>
  <c r="N7" i="4" l="1"/>
  <c r="O16" i="4"/>
  <c r="O11" i="4"/>
  <c r="J22" i="1"/>
  <c r="J24" i="1" s="1"/>
  <c r="C11" i="4" s="1"/>
  <c r="Q34" i="1"/>
  <c r="Q24" i="1"/>
  <c r="P34" i="1"/>
  <c r="P24" i="1"/>
  <c r="N41" i="1"/>
  <c r="N44" i="1"/>
  <c r="I36" i="1"/>
  <c r="I37" i="1"/>
  <c r="I39" i="1" s="1"/>
  <c r="F36" i="1"/>
  <c r="F37" i="1"/>
  <c r="G24" i="1"/>
  <c r="G26" i="1" s="1"/>
  <c r="G34" i="1"/>
  <c r="G37" i="1" s="1"/>
  <c r="G39" i="1" s="1"/>
  <c r="N24" i="1"/>
  <c r="N26" i="1" s="1"/>
  <c r="N36" i="1"/>
  <c r="O22" i="1"/>
  <c r="O24" i="1" s="1"/>
  <c r="E11" i="4" s="1"/>
  <c r="K24" i="1"/>
  <c r="K26" i="1" s="1"/>
  <c r="K34" i="1"/>
  <c r="J13" i="1"/>
  <c r="H24" i="1"/>
  <c r="H26" i="1" s="1"/>
  <c r="H34" i="1"/>
  <c r="M34" i="1"/>
  <c r="M37" i="1" s="1"/>
  <c r="M24" i="1"/>
  <c r="M26" i="1" s="1"/>
  <c r="D13" i="1"/>
  <c r="D22" i="1"/>
  <c r="L24" i="1"/>
  <c r="L26" i="1" s="1"/>
  <c r="L34" i="1"/>
  <c r="Q26" i="1" l="1"/>
  <c r="G11" i="4"/>
  <c r="C12" i="4"/>
  <c r="E12" i="4"/>
  <c r="P26" i="1"/>
  <c r="F11" i="4"/>
  <c r="O7" i="4"/>
  <c r="O34" i="1"/>
  <c r="O36" i="1" s="1"/>
  <c r="E10" i="4" s="1"/>
  <c r="E13" i="4" s="1"/>
  <c r="E18" i="4" s="1"/>
  <c r="Q37" i="1"/>
  <c r="Q39" i="1" s="1"/>
  <c r="Q36" i="1"/>
  <c r="G10" i="4" s="1"/>
  <c r="H10" i="4" s="1"/>
  <c r="P37" i="1"/>
  <c r="P39" i="1" s="1"/>
  <c r="P36" i="1"/>
  <c r="F10" i="4" s="1"/>
  <c r="L36" i="1"/>
  <c r="L37" i="1"/>
  <c r="L39" i="1" s="1"/>
  <c r="K36" i="1"/>
  <c r="K37" i="1"/>
  <c r="I41" i="1"/>
  <c r="I44" i="1"/>
  <c r="H36" i="1"/>
  <c r="H37" i="1"/>
  <c r="H39" i="1" s="1"/>
  <c r="G41" i="1"/>
  <c r="G44" i="1"/>
  <c r="F39" i="1"/>
  <c r="J26" i="1"/>
  <c r="M36" i="1"/>
  <c r="O26" i="1"/>
  <c r="G36" i="1"/>
  <c r="J34" i="1"/>
  <c r="J36" i="1" s="1"/>
  <c r="C10" i="4" s="1"/>
  <c r="C13" i="4" s="1"/>
  <c r="C18" i="4" s="1"/>
  <c r="D34" i="1"/>
  <c r="D24" i="1"/>
  <c r="D26" i="1" s="1"/>
  <c r="C11" i="1"/>
  <c r="I10" i="4" l="1"/>
  <c r="H13" i="4"/>
  <c r="H18" i="4" s="1"/>
  <c r="G13" i="4"/>
  <c r="G18" i="4" s="1"/>
  <c r="G12" i="4"/>
  <c r="F13" i="4"/>
  <c r="F18" i="4" s="1"/>
  <c r="F12" i="4"/>
  <c r="Q41" i="1"/>
  <c r="Q44" i="1"/>
  <c r="P41" i="1"/>
  <c r="P44" i="1"/>
  <c r="L41" i="1"/>
  <c r="L44" i="1"/>
  <c r="O37" i="1"/>
  <c r="O39" i="1" s="1"/>
  <c r="K39" i="1"/>
  <c r="H44" i="1"/>
  <c r="H41" i="1"/>
  <c r="J37" i="1"/>
  <c r="J39" i="1" s="1"/>
  <c r="J41" i="1" s="1"/>
  <c r="F41" i="1"/>
  <c r="F44" i="1"/>
  <c r="D36" i="1"/>
  <c r="D37" i="1"/>
  <c r="D39" i="1" s="1"/>
  <c r="J7" i="1"/>
  <c r="C9" i="4" s="1"/>
  <c r="M39" i="1"/>
  <c r="C13" i="1"/>
  <c r="C22" i="1"/>
  <c r="E11" i="1"/>
  <c r="J10" i="4" l="1"/>
  <c r="I13" i="4"/>
  <c r="I18" i="4" s="1"/>
  <c r="J44" i="1"/>
  <c r="K41" i="1"/>
  <c r="K44" i="1"/>
  <c r="D41" i="1"/>
  <c r="D44" i="1"/>
  <c r="M41" i="1"/>
  <c r="M44" i="1"/>
  <c r="O44" i="1"/>
  <c r="O41" i="1"/>
  <c r="E13" i="1"/>
  <c r="E22" i="1"/>
  <c r="C24" i="1"/>
  <c r="C26" i="1" s="1"/>
  <c r="C34" i="1"/>
  <c r="C36" i="1" s="1"/>
  <c r="K10" i="4" l="1"/>
  <c r="J13" i="4"/>
  <c r="J18" i="4" s="1"/>
  <c r="C37" i="1"/>
  <c r="C39" i="1" s="1"/>
  <c r="E34" i="1"/>
  <c r="E24" i="1"/>
  <c r="E26" i="1" s="1"/>
  <c r="L10" i="4" l="1"/>
  <c r="K13" i="4"/>
  <c r="K18" i="4" s="1"/>
  <c r="E36" i="1"/>
  <c r="E37" i="1"/>
  <c r="E39" i="1" s="1"/>
  <c r="C41" i="1"/>
  <c r="C44" i="1"/>
  <c r="M10" i="4" l="1"/>
  <c r="L13" i="4"/>
  <c r="L18" i="4" s="1"/>
  <c r="E41" i="1"/>
  <c r="E44" i="1"/>
  <c r="L28" i="4"/>
  <c r="L29" i="4"/>
  <c r="L36" i="4" s="1"/>
  <c r="M36" i="4"/>
  <c r="N10" i="4" l="1"/>
  <c r="M13" i="4"/>
  <c r="M18" i="4" s="1"/>
  <c r="P22" i="4"/>
  <c r="O10" i="4" l="1"/>
  <c r="O13" i="4" s="1"/>
  <c r="O18" i="4" s="1"/>
  <c r="N13" i="4"/>
  <c r="N18" i="4" s="1"/>
  <c r="P18" i="4" l="1"/>
  <c r="C23" i="4" s="1"/>
  <c r="C24" i="4" s="1"/>
  <c r="C25" i="4" s="1"/>
  <c r="F22" i="4" l="1"/>
  <c r="F23" i="4" s="1"/>
  <c r="H21" i="4" l="1"/>
  <c r="G22" i="4" s="1"/>
  <c r="G23" i="4" s="1"/>
  <c r="I21" i="4" l="1"/>
  <c r="H22" i="4"/>
  <c r="H23" i="4" s="1"/>
  <c r="J21" i="4" l="1"/>
  <c r="I22" i="4"/>
  <c r="I23" i="4" s="1"/>
  <c r="J22" i="4" l="1"/>
  <c r="J23" i="4" s="1"/>
  <c r="K21" i="4"/>
  <c r="K22" i="4" l="1"/>
  <c r="K23" i="4" s="1"/>
  <c r="L21" i="4"/>
  <c r="M21" i="4" l="1"/>
  <c r="L22" i="4"/>
  <c r="L23" i="4" s="1"/>
  <c r="N21" i="4" l="1"/>
  <c r="M22" i="4"/>
  <c r="M23" i="4" s="1"/>
  <c r="N22" i="4" l="1"/>
  <c r="N23" i="4" s="1"/>
  <c r="O21" i="4"/>
  <c r="O22" i="4" s="1"/>
  <c r="O23" i="4" s="1"/>
  <c r="F25" i="4" l="1"/>
  <c r="C27" i="4" s="1"/>
  <c r="C33" i="4" s="1"/>
  <c r="C35" i="4" s="1"/>
  <c r="C28" i="4" l="1"/>
  <c r="P4" i="4"/>
  <c r="E12" i="8" s="1"/>
  <c r="E15" i="8" s="1"/>
  <c r="G30" i="4"/>
  <c r="P5" i="4" s="1"/>
  <c r="F12" i="8" s="1"/>
  <c r="F1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Maximilien Delaporte</author>
    <author>Bloomberg Paris</author>
  </authors>
  <commentList>
    <comment ref="B9" authorId="0" shapeId="0" xr:uid="{272DDA2C-241D-43E0-977F-AB54F3B7DB30}">
      <text>
        <r>
          <rPr>
            <sz val="9"/>
            <color indexed="81"/>
            <rFont val="Tahoma"/>
            <family val="2"/>
          </rPr>
          <t>Tends to slowly settle somewhere around estimates</t>
        </r>
      </text>
    </comment>
    <comment ref="B12" authorId="0" shapeId="0" xr:uid="{B9E96C9F-2F14-42AA-BD26-DBA52F171227}">
      <text>
        <r>
          <rPr>
            <sz val="9"/>
            <color indexed="81"/>
            <rFont val="Tahoma"/>
            <family val="2"/>
          </rPr>
          <t xml:space="preserve">  Lim (OP/Sales) = 1
t→+∞
Bc: If a company is scalable, which we like to see, the fixed costs go down as the company expands.</t>
        </r>
      </text>
    </comment>
    <comment ref="B14" authorId="0" shapeId="0" xr:uid="{11BB9F4F-E820-43B1-84A3-8E88A6403BDF}">
      <text>
        <r>
          <rPr>
            <sz val="9"/>
            <color indexed="81"/>
            <rFont val="Tahoma"/>
            <family val="2"/>
          </rPr>
          <t xml:space="preserve">  Lim (DA-CapEx) = 0
t→+∞</t>
        </r>
      </text>
    </comment>
    <comment ref="B15" authorId="0" shapeId="0" xr:uid="{282DE203-19EF-4B8D-AEF3-061640F62423}">
      <text>
        <r>
          <rPr>
            <sz val="9"/>
            <color indexed="81"/>
            <rFont val="Tahoma"/>
            <family val="2"/>
          </rPr>
          <t xml:space="preserve">  Lim (DA-CapEx) = 0
t→+∞</t>
        </r>
      </text>
    </comment>
    <comment ref="B17" authorId="0" shapeId="0" xr:uid="{A2D26EC7-3D81-42A4-8C62-16EC58F315D3}">
      <text>
        <r>
          <rPr>
            <sz val="9"/>
            <color indexed="81"/>
            <rFont val="Tahoma"/>
            <family val="2"/>
          </rPr>
          <t xml:space="preserve">  Lim (ΔWC) = 0
t→+∞</t>
        </r>
      </text>
    </comment>
    <comment ref="J26" authorId="1" shapeId="0" xr:uid="{0616F497-EB0B-47AC-8C44-C3249883AE6A}">
      <text>
        <r>
          <rPr>
            <sz val="9"/>
            <color indexed="81"/>
            <rFont val="Tahoma"/>
            <family val="2"/>
          </rPr>
          <t>Market Cap.</t>
        </r>
      </text>
    </comment>
    <comment ref="J32" authorId="1" shapeId="0" xr:uid="{A969A3D9-951C-4BED-BF7A-6B42379180A4}">
      <text>
        <r>
          <rPr>
            <sz val="9"/>
            <color indexed="81"/>
            <rFont val="Tahoma"/>
            <family val="2"/>
          </rPr>
          <t>It's the COUNTRY Risk Premium.
Can be found on Bloom or Analyst Reports.</t>
        </r>
      </text>
    </comment>
    <comment ref="J33" authorId="1" shapeId="0" xr:uid="{91B66B9F-C4B1-4C3A-B8FF-A97623F0CEE6}">
      <text>
        <r>
          <rPr>
            <sz val="9"/>
            <color indexed="81"/>
            <rFont val="Tahoma"/>
            <family val="2"/>
          </rPr>
          <t>A measure of Volatility.
Can be found on Bloom (BETA function, look for Adj. Beta) or the internet.</t>
        </r>
      </text>
    </comment>
    <comment ref="J34" authorId="1" shapeId="0" xr:uid="{16992DEE-B3FB-4F60-AE7A-33FF270DD52B}">
      <text>
        <r>
          <rPr>
            <sz val="9"/>
            <color indexed="81"/>
            <rFont val="Tahoma"/>
            <family val="2"/>
          </rPr>
          <t>RiskFreeRate+RiskPrem*Beta</t>
        </r>
      </text>
    </comment>
    <comment ref="J35" authorId="0" shapeId="0" xr:uid="{9CC80E26-FC17-4B52-A322-051967B95FCE}">
      <text>
        <r>
          <rPr>
            <sz val="9"/>
            <color indexed="81"/>
            <rFont val="Tahoma"/>
            <family val="2"/>
          </rPr>
          <t>Weighted Average of all the Yields of the company's debts</t>
        </r>
      </text>
    </comment>
    <comment ref="J36" authorId="0" shapeId="0" xr:uid="{8BB80B54-238F-43C6-8D2C-B1BFEA82FBE5}">
      <text>
        <r>
          <rPr>
            <b/>
            <sz val="9"/>
            <color indexed="81"/>
            <rFont val="Tahoma"/>
            <family val="2"/>
          </rPr>
          <t>WACC=We*CoE + Wd*CoD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Maximilien Delaporte</author>
  </authors>
  <commentList>
    <comment ref="D61" authorId="0" shapeId="0" xr:uid="{4A5A9AD4-7798-43DD-B77D-4ED1CED94D20}">
      <text>
        <r>
          <rPr>
            <b/>
            <sz val="9"/>
            <color indexed="81"/>
            <rFont val="Tahoma"/>
            <family val="2"/>
          </rPr>
          <t xml:space="preserve">Adjust Formula Based on Company you're Analysing:
</t>
        </r>
        <r>
          <rPr>
            <sz val="9"/>
            <color indexed="81"/>
            <rFont val="Tahoma"/>
            <family val="2"/>
          </rPr>
          <t xml:space="preserve">Tech: Most likely EV/Sales will be the only relevant ratio
Automobile: Can probably use all ratios
</t>
        </r>
        <r>
          <rPr>
            <i/>
            <sz val="9"/>
            <color indexed="81"/>
            <rFont val="Tahoma"/>
            <family val="2"/>
          </rPr>
          <t>(think about the life of a company in the industry and figure out what ratios give pertinent info)</t>
        </r>
      </text>
    </comment>
    <comment ref="D62" authorId="0" shapeId="0" xr:uid="{4EF3BECF-412A-4E18-A0E1-5B2746B8D426}">
      <text>
        <r>
          <rPr>
            <b/>
            <sz val="9"/>
            <color indexed="81"/>
            <rFont val="Tahoma"/>
            <family val="2"/>
          </rPr>
          <t xml:space="preserve">Adjust Formula Based on Company you're Analysing:
</t>
        </r>
        <r>
          <rPr>
            <sz val="9"/>
            <color indexed="81"/>
            <rFont val="Tahoma"/>
            <family val="2"/>
          </rPr>
          <t xml:space="preserve">Tech: Most likely EV/Sales will be the only relevant ratio
Automobile: Can probably use all ratios
</t>
        </r>
        <r>
          <rPr>
            <i/>
            <sz val="9"/>
            <color indexed="81"/>
            <rFont val="Tahoma"/>
            <family val="2"/>
          </rPr>
          <t>(think about the life of a company in the industry and figure out what ratios give pertinent info)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<sst xmlns="http://schemas.openxmlformats.org/spreadsheetml/2006/main" count="175" uniqueCount="155">
  <si>
    <t>YoY Growth</t>
  </si>
  <si>
    <t>Total Revenue</t>
  </si>
  <si>
    <t>Cost of Revenue</t>
  </si>
  <si>
    <t>Gross Profit</t>
  </si>
  <si>
    <t>Operating Expenses</t>
  </si>
  <si>
    <t xml:space="preserve">    R&amp;D</t>
  </si>
  <si>
    <t xml:space="preserve">    Sales &amp; Marketing</t>
  </si>
  <si>
    <t xml:space="preserve">    General &amp; Administratiive</t>
  </si>
  <si>
    <t>Total Operating Expenses</t>
  </si>
  <si>
    <t>Operating Income/Loss</t>
  </si>
  <si>
    <t>Adj. Operating Income/Loss</t>
  </si>
  <si>
    <t>Finance Income</t>
  </si>
  <si>
    <t>Finance Costs</t>
  </si>
  <si>
    <t>Share in earnings of associate</t>
  </si>
  <si>
    <t>EBT</t>
  </si>
  <si>
    <t>Tax Rate (%)</t>
  </si>
  <si>
    <t>Net Income (loss) attributable to owners of parent</t>
  </si>
  <si>
    <t>Fair Value Movements on Convertible Notes</t>
  </si>
  <si>
    <t>Net Income (loss) - Reported</t>
  </si>
  <si>
    <t>Other Adjustments</t>
  </si>
  <si>
    <t>Adj. Net Income (loss)</t>
  </si>
  <si>
    <t>As % of sales</t>
  </si>
  <si>
    <t>P&amp;L</t>
  </si>
  <si>
    <t>Finance Net Income (Costs)</t>
  </si>
  <si>
    <t>Income Tax benefit (expense)</t>
  </si>
  <si>
    <t>Diluted Shares (m)</t>
  </si>
  <si>
    <t>BEst</t>
  </si>
  <si>
    <r>
      <t>Dilluted EPS (</t>
    </r>
    <r>
      <rPr>
        <b/>
        <sz val="11"/>
        <color theme="0"/>
        <rFont val="Calibri"/>
        <family val="2"/>
      </rPr>
      <t>€</t>
    </r>
    <r>
      <rPr>
        <b/>
        <sz val="12.65"/>
        <color theme="0"/>
        <rFont val="Calibri"/>
        <family val="2"/>
      </rPr>
      <t>)</t>
    </r>
  </si>
  <si>
    <t>Sales</t>
  </si>
  <si>
    <t>Growth (%)</t>
  </si>
  <si>
    <t>Tax Rate</t>
  </si>
  <si>
    <t>Operating Profit</t>
  </si>
  <si>
    <t>Operating Margin (as % of Sales)</t>
  </si>
  <si>
    <t xml:space="preserve">    Other Adjustments, Income (Expenses)</t>
  </si>
  <si>
    <t>Discounted Cash Flow (DCF)</t>
  </si>
  <si>
    <t xml:space="preserve">    As % of sales</t>
  </si>
  <si>
    <t xml:space="preserve"> -  Change in Working Capital</t>
  </si>
  <si>
    <t xml:space="preserve"> + Depreciation (DA)</t>
  </si>
  <si>
    <t xml:space="preserve"> -  CapEx</t>
  </si>
  <si>
    <t xml:space="preserve"> = Free Cash Flow (FCF)</t>
  </si>
  <si>
    <t>find on Bal. Sheet</t>
  </si>
  <si>
    <t>Net Operating Prof. After Tax (NOPAT)</t>
  </si>
  <si>
    <t>Weighted Average Cost of Capital (WACC)</t>
  </si>
  <si>
    <t>Net Dept (D)</t>
  </si>
  <si>
    <t>Shareholder Equity (E)</t>
  </si>
  <si>
    <t>Risk-Free Rate (10Y US)</t>
  </si>
  <si>
    <t>Risk Premium</t>
  </si>
  <si>
    <t>Beta</t>
  </si>
  <si>
    <t>Cost of Equity (CoE)</t>
  </si>
  <si>
    <t>Cost of Debt (CoD)</t>
  </si>
  <si>
    <t>NET_DEPT</t>
  </si>
  <si>
    <t>YAS_BOND_YLD</t>
  </si>
  <si>
    <t>RISK_PREMIUM</t>
  </si>
  <si>
    <t>EQY_BETA</t>
  </si>
  <si>
    <t>WACC_COST_DEBT</t>
  </si>
  <si>
    <t>Year</t>
  </si>
  <si>
    <t>Discount Rate</t>
  </si>
  <si>
    <t>PV of FCF</t>
  </si>
  <si>
    <t>Sum of PV</t>
  </si>
  <si>
    <t>INPUT</t>
  </si>
  <si>
    <t>BLOOM</t>
  </si>
  <si>
    <t>FINAL</t>
  </si>
  <si>
    <t>t+</t>
  </si>
  <si>
    <t>LT Growth Rate (G)</t>
  </si>
  <si>
    <t>FCF*(1+G)</t>
  </si>
  <si>
    <t>PV of the TV</t>
  </si>
  <si>
    <t>Terminal Value (TV) in t+1</t>
  </si>
  <si>
    <t>TV as % of EV</t>
  </si>
  <si>
    <t xml:space="preserve"> = Enterprise Value (EV)</t>
  </si>
  <si>
    <t xml:space="preserve"> -  Net Debt</t>
  </si>
  <si>
    <t xml:space="preserve"> -  Pension Provisions</t>
  </si>
  <si>
    <t xml:space="preserve"> -  Minority Interests</t>
  </si>
  <si>
    <t># of Diluted Shares</t>
  </si>
  <si>
    <t xml:space="preserve"> = Total Equity Value</t>
  </si>
  <si>
    <t>Equity Value</t>
  </si>
  <si>
    <t>Share Price</t>
  </si>
  <si>
    <t>Upside / (Downside)</t>
  </si>
  <si>
    <t>Valuation by End of Year</t>
  </si>
  <si>
    <t>Diluted Shares</t>
  </si>
  <si>
    <t>CUR_MKT_CAP</t>
  </si>
  <si>
    <t>Current Share Price</t>
  </si>
  <si>
    <t>(1) Calculating FCF</t>
  </si>
  <si>
    <t>(2) Calculating the WACC</t>
  </si>
  <si>
    <t>(3) Terminal Value - Growth in Perpetuity Approach</t>
  </si>
  <si>
    <t>Balance Sheet</t>
  </si>
  <si>
    <t>Terminal</t>
  </si>
  <si>
    <r>
      <t xml:space="preserve">Capital Employed (V) </t>
    </r>
    <r>
      <rPr>
        <i/>
        <sz val="10"/>
        <color theme="1" tint="0.499984740745262"/>
        <rFont val="Calibri"/>
        <family val="2"/>
        <scheme val="minor"/>
      </rPr>
      <t>E+D</t>
    </r>
  </si>
  <si>
    <r>
      <t xml:space="preserve">Weight of Equity (We) </t>
    </r>
    <r>
      <rPr>
        <i/>
        <sz val="11"/>
        <color theme="0" tint="-0.499984740745262"/>
        <rFont val="Calibri"/>
        <family val="2"/>
        <scheme val="minor"/>
      </rPr>
      <t>E/V</t>
    </r>
  </si>
  <si>
    <r>
      <t xml:space="preserve">Weight of Debt (Wd) </t>
    </r>
    <r>
      <rPr>
        <i/>
        <sz val="11"/>
        <color theme="0" tint="-0.499984740745262"/>
        <rFont val="Calibri"/>
        <family val="2"/>
        <scheme val="minor"/>
      </rPr>
      <t>D/V</t>
    </r>
  </si>
  <si>
    <t>Currently Under(Over)valued by</t>
  </si>
  <si>
    <t xml:space="preserve">              &lt; Reset</t>
  </si>
  <si>
    <t>SECURITY_NAME</t>
  </si>
  <si>
    <t>%YTD</t>
  </si>
  <si>
    <t>Market Cap (B)</t>
  </si>
  <si>
    <t>EV/sales</t>
  </si>
  <si>
    <t>EV/EBITDA</t>
  </si>
  <si>
    <t>EV/EBIT</t>
  </si>
  <si>
    <t>P/E</t>
  </si>
  <si>
    <t>PX_LAST</t>
  </si>
  <si>
    <t>CHG_PCT_YTD_RT</t>
  </si>
  <si>
    <t>EST_EV_THIS_YR_SALES</t>
  </si>
  <si>
    <t>EST_EV_NEXT_YR_SALES</t>
  </si>
  <si>
    <t>EST_EV_THIS_YR_EBITDA</t>
  </si>
  <si>
    <t>EST_EV_NEXT_YR_EBITDA</t>
  </si>
  <si>
    <t>BEST_CURRENT_EV_BEST_EBIT</t>
  </si>
  <si>
    <t>EXT_EV_NEXT_YR_EBIT</t>
  </si>
  <si>
    <t>EST_PE_CUR_YR</t>
  </si>
  <si>
    <t>EST_PE_NXT_YR</t>
  </si>
  <si>
    <t>Industry Average</t>
  </si>
  <si>
    <t>Median</t>
  </si>
  <si>
    <t>spot us equity</t>
  </si>
  <si>
    <t>Relative Value (RV)</t>
  </si>
  <si>
    <r>
      <t xml:space="preserve">TICKER                              </t>
    </r>
    <r>
      <rPr>
        <b/>
        <sz val="9"/>
        <color rgb="FF5C0000"/>
        <rFont val="Calibri"/>
        <family val="2"/>
        <scheme val="minor"/>
      </rPr>
      <t>(Input)</t>
    </r>
  </si>
  <si>
    <t>Δ to Average</t>
  </si>
  <si>
    <r>
      <rPr>
        <b/>
        <sz val="11"/>
        <color rgb="FF4B0909"/>
        <rFont val="Tahoma"/>
        <family val="2"/>
      </rPr>
      <t>Δ</t>
    </r>
    <r>
      <rPr>
        <b/>
        <sz val="11"/>
        <color rgb="FF4B0909"/>
        <rFont val="Calibri"/>
        <family val="2"/>
      </rPr>
      <t xml:space="preserve"> to</t>
    </r>
    <r>
      <rPr>
        <b/>
        <sz val="11"/>
        <color rgb="FF4B0909"/>
        <rFont val="Calibri"/>
        <family val="2"/>
        <scheme val="minor"/>
      </rPr>
      <t xml:space="preserve"> Median</t>
    </r>
  </si>
  <si>
    <t>Upside / (Downside) to Average</t>
  </si>
  <si>
    <t>Upside / (Downside) to Median</t>
  </si>
  <si>
    <t xml:space="preserve">            ^Reset^</t>
  </si>
  <si>
    <t>^Save Bloom Data^</t>
  </si>
  <si>
    <t>EV/Sales</t>
  </si>
  <si>
    <t>EV/NOPAT</t>
  </si>
  <si>
    <t>Estimated Value</t>
  </si>
  <si>
    <t>EV of Operating Assets</t>
  </si>
  <si>
    <t>Per Share</t>
  </si>
  <si>
    <t>Corporate</t>
  </si>
  <si>
    <t>DCF/NAV</t>
  </si>
  <si>
    <t>Value of Stakes</t>
  </si>
  <si>
    <t>N° of Shares</t>
  </si>
  <si>
    <t>Equity Per Share</t>
  </si>
  <si>
    <t>Equity Value Per Share</t>
  </si>
  <si>
    <t>(+) Net Dept</t>
  </si>
  <si>
    <t>(+) Other Liabilities</t>
  </si>
  <si>
    <t>Equity Value (Pre-Discount)</t>
  </si>
  <si>
    <t>Holdco Discount</t>
  </si>
  <si>
    <t>Sum Of The Parts (SOTP)</t>
  </si>
  <si>
    <t xml:space="preserve"> </t>
  </si>
  <si>
    <t>(2) Stakes Valuation</t>
  </si>
  <si>
    <t>(1) Operating Assets Valuation</t>
  </si>
  <si>
    <t>(3) Total EV</t>
  </si>
  <si>
    <t>Current Market Price/Share</t>
  </si>
  <si>
    <t>N° Of Shares</t>
  </si>
  <si>
    <t>Method</t>
  </si>
  <si>
    <t>Final Valuation</t>
  </si>
  <si>
    <t>Final Value</t>
  </si>
  <si>
    <t>(1) Discouted Cash Flows (DCF)</t>
  </si>
  <si>
    <t>(2) Relative Value (RV)</t>
  </si>
  <si>
    <t>(3) Sum Of The Parts (SOTP)</t>
  </si>
  <si>
    <t>Market Cap</t>
  </si>
  <si>
    <t>Ratio / Weight</t>
  </si>
  <si>
    <t xml:space="preserve">                &lt; Reset                    &lt; Save Bloom Data</t>
  </si>
  <si>
    <t>BLOOMBERG VALUES</t>
  </si>
  <si>
    <t>PASTED / MANUAL INPUT</t>
  </si>
  <si>
    <t>Up/(Down)side to Average</t>
  </si>
  <si>
    <t>Up/(Down)side to Median</t>
  </si>
  <si>
    <t>[COMPANY TICKER]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</si>
</sst>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.00\ &quot;€&quot;_-;\-* #,##0.00\ &quot;€&quot;_-;_-* &quot;-&quot;??\ &quot;€&quot;_-;_-@_-"/>
    <numFmt numFmtId="167" formatCode="_-* #,##0\ [$€-40C]_-;\-* #,##0\ [$€-40C]_-;_-* &quot;-&quot;??\ [$€-40C]_-;_-@_-"/>
    <numFmt numFmtId="168" formatCode="_([$€-2]\ * #,##0_);_([$€-2]\ * \(#,##0\);_([$€-2]\ * &quot;-&quot;??_);_(@_)"/>
    <numFmt numFmtId="169" formatCode="0.0%"/>
    <numFmt numFmtId="170" formatCode="_([$€-2]\ * #,##0.00_);_([$€-2]\ * \(#,##0.00\);_([$€-2]\ * &quot;-&quot;??_);_(@_)"/>
    <numFmt numFmtId="171" formatCode="_([$€-2]\ * #,##0_);_([$€-2]\ * \(#,##0\);_([$€-2]\ * &quot;-&quot;_);_(@_)"/>
    <numFmt numFmtId="172" formatCode="_([$€-2]\ * #,##0.0_);_([$€-2]\ * \(#,##0.0\);_([$€-2]\ * &quot;-&quot;??_);_(@_)"/>
    <numFmt numFmtId="173" formatCode="0.000000000000000%"/>
    <numFmt numFmtId="174" formatCode="[$$-409]#,##0"/>
    <numFmt numFmtId="175" formatCode="[$$-409]#,##0.00"/>
    <numFmt numFmtId="176" formatCode="_-[$$-409]* #,##0.00_ ;_-[$$-409]* \-#,##0.00\ ;_-[$$-409]* &quot;-&quot;??_ ;_-@_ "/>
    <numFmt numFmtId="178" formatCode="_(&quot;$&quot;* #,##0_);_(&quot;$&quot;* \(#,##0\);_(&quot;$&quot;* &quot;-&quot;??_);_(@_)"/>
  </numFmts>
  <fonts count="86" x14ac:knownFonts="1"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i/>
      <sz val="11"/>
      <color rgb="FFFFC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.65"/>
      <color theme="0"/>
      <name val="Calibri"/>
      <family val="2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14"/>
      <color theme="6" tint="0.7999816888943144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color theme="4" tint="0.59999389629810485"/>
      <name val="Calibri"/>
      <family val="2"/>
      <scheme val="minor"/>
    </font>
    <font>
      <b/>
      <sz val="11"/>
      <color theme="4" tint="0.59999389629810485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b/>
      <sz val="11"/>
      <color rgb="FF247A72"/>
      <name val="Calibri"/>
      <family val="2"/>
      <scheme val="minor"/>
    </font>
    <font>
      <b/>
      <sz val="16"/>
      <color theme="6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6" tint="0.79998168889431442"/>
      <name val="Calibri"/>
      <family val="2"/>
      <scheme val="minor"/>
    </font>
    <font>
      <sz val="10"/>
      <color theme="6" tint="0.7999816888943144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u val="double"/>
      <sz val="11"/>
      <color theme="6" tint="0.7999816888943144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sz val="8.5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b/>
      <u val="double"/>
      <sz val="11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rgb="FFFFF4D1"/>
      <name val="Calibri"/>
      <family val="2"/>
      <scheme val="minor"/>
    </font>
    <font>
      <sz val="1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5C0000"/>
      <name val="Calibri"/>
      <family val="2"/>
      <scheme val="minor"/>
    </font>
    <font>
      <b/>
      <sz val="9"/>
      <color rgb="FF5C0000"/>
      <name val="Calibri"/>
      <family val="2"/>
      <scheme val="minor"/>
    </font>
    <font>
      <sz val="11"/>
      <color rgb="FFFFDC6D"/>
      <name val="Calibri"/>
      <family val="2"/>
      <scheme val="minor"/>
    </font>
    <font>
      <b/>
      <sz val="11"/>
      <color rgb="FFFFDC6D"/>
      <name val="Calibri"/>
      <family val="2"/>
      <scheme val="minor"/>
    </font>
    <font>
      <b/>
      <sz val="14"/>
      <color rgb="FFFFF4D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2"/>
      <color rgb="FF400606"/>
      <name val="Calibri"/>
      <family val="2"/>
      <scheme val="minor"/>
    </font>
    <font>
      <b/>
      <sz val="16"/>
      <color rgb="FFFFDE75"/>
      <name val="Calibri"/>
      <family val="2"/>
      <scheme val="minor"/>
    </font>
    <font>
      <b/>
      <sz val="14"/>
      <color rgb="FFFFDE75"/>
      <name val="Calibri"/>
      <family val="2"/>
      <scheme val="minor"/>
    </font>
    <font>
      <sz val="9"/>
      <color rgb="FFFFDE75"/>
      <name val="Calibri"/>
      <family val="2"/>
    </font>
    <font>
      <sz val="11"/>
      <color rgb="FFFFDE75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A401"/>
      <name val="Calibri"/>
      <family val="2"/>
      <scheme val="minor"/>
    </font>
    <font>
      <sz val="8"/>
      <color rgb="FFFFA401"/>
      <name val="Calibri"/>
      <family val="2"/>
      <scheme val="minor"/>
    </font>
    <font>
      <sz val="6"/>
      <color rgb="FFFFA401"/>
      <name val="Calibri"/>
      <family val="2"/>
      <scheme val="minor"/>
    </font>
    <font>
      <b/>
      <sz val="11"/>
      <color rgb="FF4B0909"/>
      <name val="Tahoma"/>
      <family val="2"/>
    </font>
    <font>
      <b/>
      <sz val="11"/>
      <color rgb="FF4B0909"/>
      <name val="Calibri"/>
      <family val="2"/>
    </font>
    <font>
      <b/>
      <sz val="11"/>
      <color rgb="FF4B0909"/>
      <name val="Calibri"/>
      <family val="2"/>
      <scheme val="minor"/>
    </font>
    <font>
      <b/>
      <sz val="12"/>
      <color rgb="FF4B0909"/>
      <name val="Calibri"/>
      <family val="2"/>
      <scheme val="minor"/>
    </font>
    <font>
      <i/>
      <sz val="9"/>
      <color indexed="81"/>
      <name val="Tahoma"/>
      <family val="2"/>
    </font>
    <font>
      <b/>
      <sz val="12"/>
      <color rgb="FFFFDE75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rgb="FF400606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rgb="FF3A5C0C"/>
      <name val="Calibri"/>
      <family val="2"/>
      <scheme val="minor"/>
    </font>
    <font>
      <b/>
      <sz val="11"/>
      <color rgb="FFD6F6AC"/>
      <name val="Calibri"/>
      <family val="2"/>
      <scheme val="minor"/>
    </font>
    <font>
      <b/>
      <sz val="16"/>
      <color rgb="FFD6F6AC"/>
      <name val="Calibri"/>
      <family val="2"/>
      <scheme val="minor"/>
    </font>
    <font>
      <b/>
      <u/>
      <sz val="11"/>
      <color rgb="FF3A5C0C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D6F6AC"/>
      <name val="Calibri"/>
      <family val="2"/>
      <scheme val="minor"/>
    </font>
    <font>
      <sz val="11"/>
      <color rgb="FFBDF078"/>
      <name val="Calibri"/>
      <family val="2"/>
      <scheme val="minor"/>
    </font>
    <font>
      <b/>
      <sz val="11"/>
      <color rgb="FFBDF078"/>
      <name val="Calibri"/>
      <family val="2"/>
      <scheme val="minor"/>
    </font>
    <font>
      <b/>
      <u val="double"/>
      <sz val="11"/>
      <color rgb="FFBDF078"/>
      <name val="Calibri"/>
      <family val="2"/>
      <scheme val="minor"/>
    </font>
    <font>
      <sz val="11"/>
      <color rgb="FF3A5C0C"/>
      <name val="Calibri"/>
      <family val="2"/>
      <scheme val="minor"/>
    </font>
    <font>
      <b/>
      <u/>
      <sz val="12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6236B"/>
        <bgColor indexed="64"/>
      </patternFill>
    </fill>
    <fill>
      <patternFill patternType="solid">
        <fgColor rgb="FFB392DE"/>
        <bgColor indexed="64"/>
      </patternFill>
    </fill>
    <fill>
      <patternFill patternType="solid">
        <fgColor rgb="FF9E75D5"/>
        <bgColor indexed="64"/>
      </patternFill>
    </fill>
    <fill>
      <patternFill patternType="solid">
        <fgColor rgb="FFFFCC2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257F7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1B565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6202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400606"/>
        <bgColor indexed="64"/>
      </patternFill>
    </fill>
    <fill>
      <patternFill patternType="solid">
        <fgColor rgb="FF180202"/>
        <bgColor indexed="64"/>
      </patternFill>
    </fill>
    <fill>
      <patternFill patternType="solid">
        <fgColor rgb="FFFFA401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A5C0C"/>
        <bgColor indexed="64"/>
      </patternFill>
    </fill>
    <fill>
      <patternFill patternType="solid">
        <fgColor theme="0" tint="-0.34998626667073579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FFC000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theme="6" tint="-0.24994659260841701"/>
      </left>
      <right/>
      <top/>
      <bottom/>
      <diagonal/>
    </border>
    <border>
      <left style="medium">
        <color theme="6" tint="-0.249977111117893"/>
      </left>
      <right/>
      <top style="medium">
        <color theme="6" tint="-0.249977111117893"/>
      </top>
      <bottom style="medium">
        <color theme="6" tint="-0.249977111117893"/>
      </bottom>
      <diagonal/>
    </border>
    <border>
      <left/>
      <right/>
      <top style="medium">
        <color theme="6" tint="-0.249977111117893"/>
      </top>
      <bottom style="medium">
        <color theme="6" tint="-0.249977111117893"/>
      </bottom>
      <diagonal/>
    </border>
    <border>
      <left style="mediumDashed">
        <color theme="6" tint="-0.24994659260841701"/>
      </left>
      <right/>
      <top style="medium">
        <color theme="6" tint="-0.249977111117893"/>
      </top>
      <bottom style="medium">
        <color theme="6" tint="-0.249977111117893"/>
      </bottom>
      <diagonal/>
    </border>
    <border>
      <left/>
      <right style="medium">
        <color theme="6" tint="-0.249977111117893"/>
      </right>
      <top style="medium">
        <color theme="6" tint="-0.249977111117893"/>
      </top>
      <bottom style="medium">
        <color theme="6" tint="-0.249977111117893"/>
      </bottom>
      <diagonal/>
    </border>
    <border>
      <left style="medium">
        <color rgb="FF3A5C0C"/>
      </left>
      <right/>
      <top style="medium">
        <color rgb="FF3A5C0C"/>
      </top>
      <bottom style="medium">
        <color rgb="FF3A5C0C"/>
      </bottom>
      <diagonal/>
    </border>
    <border>
      <left/>
      <right/>
      <top style="medium">
        <color rgb="FF3A5C0C"/>
      </top>
      <bottom style="medium">
        <color rgb="FF3A5C0C"/>
      </bottom>
      <diagonal/>
    </border>
    <border>
      <left/>
      <right style="medium">
        <color rgb="FF3A5C0C"/>
      </right>
      <top style="medium">
        <color rgb="FF3A5C0C"/>
      </top>
      <bottom style="medium">
        <color rgb="FF3A5C0C"/>
      </bottom>
      <diagonal/>
    </border>
    <border>
      <left/>
      <right/>
      <top style="medium">
        <color rgb="FF3A5C0C"/>
      </top>
      <bottom/>
      <diagonal/>
    </border>
    <border>
      <left style="thin">
        <color theme="6" tint="-0.499984740745262"/>
      </left>
      <right/>
      <top style="medium">
        <color rgb="FF3A5C0C"/>
      </top>
      <bottom/>
      <diagonal/>
    </border>
    <border>
      <left/>
      <right style="thin">
        <color theme="6" tint="-0.499984740745262"/>
      </right>
      <top style="medium">
        <color rgb="FF3A5C0C"/>
      </top>
      <bottom/>
      <diagonal/>
    </border>
    <border>
      <left/>
      <right style="medium">
        <color rgb="FF3A5C0C"/>
      </right>
      <top style="medium">
        <color rgb="FF3A5C0C"/>
      </top>
      <bottom/>
      <diagonal/>
    </border>
    <border>
      <left style="mediumDashed">
        <color theme="6" tint="-0.499984740745262"/>
      </left>
      <right/>
      <top style="medium">
        <color rgb="FF3A5C0C"/>
      </top>
      <bottom/>
      <diagonal/>
    </border>
    <border>
      <left style="medium">
        <color theme="6" tint="-0.499984740745262"/>
      </left>
      <right/>
      <top style="medium">
        <color theme="6" tint="-0.499984740745262"/>
      </top>
      <bottom/>
      <diagonal/>
    </border>
    <border>
      <left/>
      <right/>
      <top style="medium">
        <color theme="6" tint="-0.499984740745262"/>
      </top>
      <bottom/>
      <diagonal/>
    </border>
    <border>
      <left/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/>
      <right style="medium">
        <color theme="6" tint="-0.499984740745262"/>
      </right>
      <top/>
      <bottom/>
      <diagonal/>
    </border>
    <border>
      <left style="medium">
        <color theme="6" tint="-0.24994659260841701"/>
      </left>
      <right/>
      <top/>
      <bottom style="medium">
        <color theme="6" tint="-0.249977111117893"/>
      </bottom>
      <diagonal/>
    </border>
    <border>
      <left style="medium">
        <color theme="6" tint="-0.24994659260841701"/>
      </left>
      <right/>
      <top/>
      <bottom/>
      <diagonal/>
    </border>
    <border>
      <left/>
      <right style="medium">
        <color rgb="FF04273E"/>
      </right>
      <top style="medium">
        <color theme="6" tint="-0.499984740745262"/>
      </top>
      <bottom style="medium">
        <color rgb="FF04273E"/>
      </bottom>
      <diagonal/>
    </border>
    <border>
      <left/>
      <right/>
      <top style="medium">
        <color theme="6" tint="-0.499984740745262"/>
      </top>
      <bottom style="medium">
        <color rgb="FF04273E"/>
      </bottom>
      <diagonal/>
    </border>
    <border>
      <left style="thin">
        <color rgb="FF04273E"/>
      </left>
      <right/>
      <top style="medium">
        <color theme="6" tint="-0.499984740745262"/>
      </top>
      <bottom style="medium">
        <color rgb="FF04273E"/>
      </bottom>
      <diagonal/>
    </border>
    <border>
      <left/>
      <right style="thin">
        <color rgb="FF04273E"/>
      </right>
      <top style="medium">
        <color theme="6" tint="-0.499984740745262"/>
      </top>
      <bottom style="medium">
        <color rgb="FF04273E"/>
      </bottom>
      <diagonal/>
    </border>
    <border>
      <left style="mediumDashed">
        <color rgb="FF04273E"/>
      </left>
      <right/>
      <top style="medium">
        <color theme="6" tint="-0.499984740745262"/>
      </top>
      <bottom style="medium">
        <color rgb="FF04273E"/>
      </bottom>
      <diagonal/>
    </border>
    <border>
      <left style="medium">
        <color theme="6" tint="-0.24994659260841701"/>
      </left>
      <right/>
      <top style="medium">
        <color theme="6" tint="-0.499984740745262"/>
      </top>
      <bottom/>
      <diagonal/>
    </border>
    <border>
      <left style="mediumDashed">
        <color theme="6" tint="-0.24994659260841701"/>
      </left>
      <right/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 style="medium">
        <color theme="6" tint="-0.24994659260841701"/>
      </bottom>
      <diagonal/>
    </border>
    <border>
      <left style="mediumDashed">
        <color theme="6" tint="-0.24994659260841701"/>
      </left>
      <right/>
      <top/>
      <bottom style="medium">
        <color theme="6" tint="-0.24994659260841701"/>
      </bottom>
      <diagonal/>
    </border>
    <border>
      <left/>
      <right style="medium">
        <color theme="6" tint="-0.24994659260841701"/>
      </right>
      <top/>
      <bottom/>
      <diagonal/>
    </border>
    <border>
      <left style="mediumDashed">
        <color theme="6" tint="-0.24994659260841701"/>
      </left>
      <right/>
      <top style="medium">
        <color theme="6" tint="-0.24994659260841701"/>
      </top>
      <bottom style="medium">
        <color theme="6" tint="-0.249977111117893"/>
      </bottom>
      <diagonal/>
    </border>
    <border>
      <left/>
      <right style="medium">
        <color theme="6" tint="-0.249977111117893"/>
      </right>
      <top style="medium">
        <color theme="6" tint="-0.24994659260841701"/>
      </top>
      <bottom style="medium">
        <color theme="6" tint="-0.249977111117893"/>
      </bottom>
      <diagonal/>
    </border>
    <border>
      <left style="medium">
        <color theme="6" tint="-0.249977111117893"/>
      </left>
      <right/>
      <top/>
      <bottom/>
      <diagonal/>
    </border>
    <border>
      <left style="thick">
        <color theme="6" tint="-0.24994659260841701"/>
      </left>
      <right/>
      <top style="thick">
        <color theme="6" tint="-0.24994659260841701"/>
      </top>
      <bottom/>
      <diagonal/>
    </border>
    <border>
      <left/>
      <right/>
      <top style="thick">
        <color theme="6" tint="-0.24994659260841701"/>
      </top>
      <bottom/>
      <diagonal/>
    </border>
    <border>
      <left/>
      <right style="thick">
        <color theme="6" tint="-0.24994659260841701"/>
      </right>
      <top style="thick">
        <color theme="6" tint="-0.24994659260841701"/>
      </top>
      <bottom/>
      <diagonal/>
    </border>
    <border>
      <left style="thick">
        <color theme="6" tint="-0.24994659260841701"/>
      </left>
      <right/>
      <top/>
      <bottom/>
      <diagonal/>
    </border>
    <border>
      <left/>
      <right style="thick">
        <color theme="6" tint="-0.24994659260841701"/>
      </right>
      <top/>
      <bottom/>
      <diagonal/>
    </border>
    <border>
      <left style="thick">
        <color theme="6" tint="-0.24994659260841701"/>
      </left>
      <right/>
      <top/>
      <bottom style="thick">
        <color theme="6" tint="-0.24994659260841701"/>
      </bottom>
      <diagonal/>
    </border>
    <border>
      <left/>
      <right/>
      <top/>
      <bottom style="thick">
        <color theme="6" tint="-0.24994659260841701"/>
      </bottom>
      <diagonal/>
    </border>
    <border>
      <left/>
      <right style="thick">
        <color theme="6" tint="-0.24994659260841701"/>
      </right>
      <top/>
      <bottom style="thick">
        <color theme="6" tint="-0.24994659260841701"/>
      </bottom>
      <diagonal/>
    </border>
    <border>
      <left/>
      <right style="medium">
        <color theme="6" tint="-0.24994659260841701"/>
      </right>
      <top style="thick">
        <color theme="6" tint="-0.24994659260841701"/>
      </top>
      <bottom/>
      <diagonal/>
    </border>
    <border>
      <left/>
      <right style="medium">
        <color theme="6" tint="-0.24994659260841701"/>
      </right>
      <top/>
      <bottom style="thick">
        <color theme="6" tint="-0.24994659260841701"/>
      </bottom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Dashed">
        <color rgb="FF04273E"/>
      </left>
      <right/>
      <top style="medium">
        <color rgb="FF04273E"/>
      </top>
      <bottom style="medium">
        <color rgb="FF04273E"/>
      </bottom>
      <diagonal/>
    </border>
    <border>
      <left/>
      <right style="medium">
        <color rgb="FF04273E"/>
      </right>
      <top style="medium">
        <color rgb="FF04273E"/>
      </top>
      <bottom style="medium">
        <color rgb="FF04273E"/>
      </bottom>
      <diagonal/>
    </border>
    <border>
      <left/>
      <right style="medium">
        <color theme="6" tint="-0.24994659260841701"/>
      </right>
      <top style="medium">
        <color rgb="FF04273E"/>
      </top>
      <bottom/>
      <diagonal/>
    </border>
    <border>
      <left/>
      <right style="medium">
        <color theme="6" tint="-0.24994659260841701"/>
      </right>
      <top/>
      <bottom style="medium">
        <color theme="6" tint="-0.24994659260841701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</borders>
  <cellStyleXfs count="11">
    <xf numFmtId="0" fontId="0" fillId="0" borderId="0"/>
    <xf numFmtId="9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78" fillId="0" borderId="0" applyFont="0" applyFill="0" applyBorder="0" applyAlignment="0" applyProtection="0"/>
    <xf numFmtId="165" fontId="78" fillId="0" borderId="0" applyFont="0" applyFill="0" applyBorder="0" applyAlignment="0" applyProtection="0"/>
  </cellStyleXfs>
  <cellXfs count="541">
    <xf numFmtId="0" fontId="0" fillId="0" borderId="0" xfId="0"/>
    <xf numFmtId="0" fontId="0" fillId="3" borderId="2" xfId="0" applyFill="1" applyBorder="1"/>
    <xf numFmtId="168" fontId="0" fillId="0" borderId="0" xfId="0" applyNumberFormat="1"/>
    <xf numFmtId="168" fontId="0" fillId="3" borderId="2" xfId="0" applyNumberFormat="1" applyFill="1" applyBorder="1"/>
    <xf numFmtId="169" fontId="7" fillId="3" borderId="2" xfId="1" applyNumberFormat="1" applyFont="1" applyFill="1" applyBorder="1"/>
    <xf numFmtId="169" fontId="7" fillId="0" borderId="0" xfId="1" applyNumberFormat="1" applyFont="1" applyBorder="1"/>
    <xf numFmtId="9" fontId="9" fillId="3" borderId="2" xfId="1" applyFont="1" applyFill="1" applyBorder="1"/>
    <xf numFmtId="9" fontId="9" fillId="8" borderId="2" xfId="1" applyFont="1" applyFill="1" applyBorder="1"/>
    <xf numFmtId="0" fontId="0" fillId="8" borderId="2" xfId="0" applyFill="1" applyBorder="1"/>
    <xf numFmtId="168" fontId="0" fillId="8" borderId="2" xfId="0" applyNumberFormat="1" applyFill="1" applyBorder="1"/>
    <xf numFmtId="167" fontId="5" fillId="10" borderId="2" xfId="0" applyNumberFormat="1" applyFont="1" applyFill="1" applyBorder="1"/>
    <xf numFmtId="9" fontId="10" fillId="3" borderId="2" xfId="1" applyFont="1" applyFill="1" applyBorder="1"/>
    <xf numFmtId="9" fontId="10" fillId="8" borderId="2" xfId="1" applyFont="1" applyFill="1" applyBorder="1"/>
    <xf numFmtId="9" fontId="10" fillId="5" borderId="0" xfId="0" applyNumberFormat="1" applyFont="1" applyFill="1"/>
    <xf numFmtId="9" fontId="10" fillId="0" borderId="0" xfId="0" applyNumberFormat="1" applyFont="1"/>
    <xf numFmtId="9" fontId="10" fillId="8" borderId="10" xfId="1" applyFont="1" applyFill="1" applyBorder="1"/>
    <xf numFmtId="167" fontId="5" fillId="10" borderId="10" xfId="0" applyNumberFormat="1" applyFont="1" applyFill="1" applyBorder="1"/>
    <xf numFmtId="9" fontId="9" fillId="5" borderId="0" xfId="0" applyNumberFormat="1" applyFont="1" applyFill="1"/>
    <xf numFmtId="9" fontId="9" fillId="0" borderId="0" xfId="0" applyNumberFormat="1" applyFont="1"/>
    <xf numFmtId="9" fontId="9" fillId="8" borderId="10" xfId="1" applyFont="1" applyFill="1" applyBorder="1"/>
    <xf numFmtId="0" fontId="0" fillId="8" borderId="10" xfId="0" applyFill="1" applyBorder="1"/>
    <xf numFmtId="168" fontId="0" fillId="8" borderId="10" xfId="0" applyNumberFormat="1" applyFill="1" applyBorder="1"/>
    <xf numFmtId="171" fontId="5" fillId="10" borderId="2" xfId="0" applyNumberFormat="1" applyFont="1" applyFill="1" applyBorder="1"/>
    <xf numFmtId="171" fontId="5" fillId="10" borderId="10" xfId="0" applyNumberFormat="1" applyFont="1" applyFill="1" applyBorder="1"/>
    <xf numFmtId="170" fontId="5" fillId="10" borderId="2" xfId="0" applyNumberFormat="1" applyFont="1" applyFill="1" applyBorder="1"/>
    <xf numFmtId="170" fontId="5" fillId="10" borderId="10" xfId="0" applyNumberFormat="1" applyFont="1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6" fillId="7" borderId="16" xfId="0" applyFont="1" applyFill="1" applyBorder="1"/>
    <xf numFmtId="0" fontId="6" fillId="7" borderId="20" xfId="0" applyFont="1" applyFill="1" applyBorder="1"/>
    <xf numFmtId="0" fontId="0" fillId="11" borderId="0" xfId="0" applyFill="1"/>
    <xf numFmtId="0" fontId="5" fillId="11" borderId="0" xfId="0" applyFont="1" applyFill="1"/>
    <xf numFmtId="0" fontId="10" fillId="11" borderId="0" xfId="0" applyFont="1" applyFill="1"/>
    <xf numFmtId="9" fontId="7" fillId="11" borderId="0" xfId="1" applyFont="1" applyFill="1"/>
    <xf numFmtId="0" fontId="9" fillId="11" borderId="0" xfId="0" applyFont="1" applyFill="1"/>
    <xf numFmtId="168" fontId="0" fillId="11" borderId="0" xfId="0" applyNumberFormat="1" applyFill="1"/>
    <xf numFmtId="0" fontId="8" fillId="11" borderId="0" xfId="0" applyFont="1" applyFill="1" applyAlignment="1">
      <alignment horizontal="center"/>
    </xf>
    <xf numFmtId="0" fontId="12" fillId="11" borderId="0" xfId="0" applyFont="1" applyFill="1"/>
    <xf numFmtId="0" fontId="13" fillId="11" borderId="0" xfId="0" applyFont="1" applyFill="1"/>
    <xf numFmtId="9" fontId="14" fillId="11" borderId="0" xfId="1" applyFont="1" applyFill="1"/>
    <xf numFmtId="168" fontId="12" fillId="11" borderId="0" xfId="0" applyNumberFormat="1" applyFont="1" applyFill="1"/>
    <xf numFmtId="0" fontId="6" fillId="12" borderId="9" xfId="0" applyFont="1" applyFill="1" applyBorder="1"/>
    <xf numFmtId="9" fontId="16" fillId="12" borderId="9" xfId="1" applyFont="1" applyFill="1" applyBorder="1"/>
    <xf numFmtId="0" fontId="11" fillId="12" borderId="9" xfId="0" applyFont="1" applyFill="1" applyBorder="1"/>
    <xf numFmtId="168" fontId="6" fillId="12" borderId="9" xfId="0" applyNumberFormat="1" applyFont="1" applyFill="1" applyBorder="1"/>
    <xf numFmtId="9" fontId="19" fillId="12" borderId="9" xfId="1" applyFont="1" applyFill="1" applyBorder="1"/>
    <xf numFmtId="0" fontId="20" fillId="12" borderId="9" xfId="0" applyFont="1" applyFill="1" applyBorder="1"/>
    <xf numFmtId="169" fontId="21" fillId="3" borderId="2" xfId="1" applyNumberFormat="1" applyFont="1" applyFill="1" applyBorder="1"/>
    <xf numFmtId="169" fontId="21" fillId="0" borderId="0" xfId="1" applyNumberFormat="1" applyFont="1" applyBorder="1"/>
    <xf numFmtId="169" fontId="21" fillId="8" borderId="2" xfId="1" applyNumberFormat="1" applyFont="1" applyFill="1" applyBorder="1"/>
    <xf numFmtId="169" fontId="21" fillId="8" borderId="10" xfId="1" applyNumberFormat="1" applyFont="1" applyFill="1" applyBorder="1"/>
    <xf numFmtId="169" fontId="21" fillId="10" borderId="2" xfId="1" applyNumberFormat="1" applyFont="1" applyFill="1" applyBorder="1"/>
    <xf numFmtId="169" fontId="21" fillId="10" borderId="10" xfId="1" applyNumberFormat="1" applyFont="1" applyFill="1" applyBorder="1"/>
    <xf numFmtId="9" fontId="5" fillId="3" borderId="2" xfId="1" applyFont="1" applyFill="1" applyBorder="1"/>
    <xf numFmtId="9" fontId="5" fillId="0" borderId="0" xfId="1" applyFont="1" applyBorder="1"/>
    <xf numFmtId="9" fontId="5" fillId="8" borderId="2" xfId="1" applyFont="1" applyFill="1" applyBorder="1"/>
    <xf numFmtId="9" fontId="5" fillId="8" borderId="10" xfId="1" applyFont="1" applyFill="1" applyBorder="1"/>
    <xf numFmtId="0" fontId="5" fillId="17" borderId="24" xfId="0" applyFont="1" applyFill="1" applyBorder="1"/>
    <xf numFmtId="0" fontId="24" fillId="13" borderId="23" xfId="0" applyFont="1" applyFill="1" applyBorder="1" applyAlignment="1">
      <alignment horizontal="right"/>
    </xf>
    <xf numFmtId="0" fontId="24" fillId="13" borderId="23" xfId="0" applyFont="1" applyFill="1" applyBorder="1"/>
    <xf numFmtId="0" fontId="24" fillId="13" borderId="18" xfId="0" applyFont="1" applyFill="1" applyBorder="1"/>
    <xf numFmtId="0" fontId="24" fillId="13" borderId="20" xfId="0" applyFont="1" applyFill="1" applyBorder="1" applyAlignment="1">
      <alignment horizontal="right"/>
    </xf>
    <xf numFmtId="0" fontId="24" fillId="13" borderId="24" xfId="0" applyFont="1" applyFill="1" applyBorder="1" applyAlignment="1">
      <alignment horizontal="right"/>
    </xf>
    <xf numFmtId="0" fontId="24" fillId="13" borderId="15" xfId="0" applyFont="1" applyFill="1" applyBorder="1" applyAlignment="1">
      <alignment horizontal="right"/>
    </xf>
    <xf numFmtId="0" fontId="24" fillId="13" borderId="14" xfId="0" applyFont="1" applyFill="1" applyBorder="1" applyAlignment="1">
      <alignment horizontal="right"/>
    </xf>
    <xf numFmtId="0" fontId="24" fillId="13" borderId="15" xfId="0" applyFont="1" applyFill="1" applyBorder="1" applyAlignment="1">
      <alignment horizontal="left"/>
    </xf>
    <xf numFmtId="0" fontId="0" fillId="14" borderId="13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6" xfId="0" applyFill="1" applyBorder="1"/>
    <xf numFmtId="0" fontId="0" fillId="2" borderId="16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7" xfId="0" applyFill="1" applyBorder="1" applyAlignment="1">
      <alignment horizontal="left"/>
    </xf>
    <xf numFmtId="0" fontId="24" fillId="13" borderId="22" xfId="0" applyFont="1" applyFill="1" applyBorder="1" applyAlignment="1">
      <alignment horizontal="right"/>
    </xf>
    <xf numFmtId="10" fontId="12" fillId="16" borderId="29" xfId="1" applyNumberFormat="1" applyFont="1" applyFill="1" applyBorder="1" applyAlignment="1">
      <alignment horizontal="center" vertical="center"/>
    </xf>
    <xf numFmtId="169" fontId="30" fillId="16" borderId="29" xfId="1" applyNumberFormat="1" applyFont="1" applyFill="1" applyBorder="1" applyAlignment="1">
      <alignment horizontal="center" vertical="center"/>
    </xf>
    <xf numFmtId="10" fontId="30" fillId="16" borderId="29" xfId="1" applyNumberFormat="1" applyFont="1" applyFill="1" applyBorder="1" applyAlignment="1">
      <alignment horizontal="center" vertical="center"/>
    </xf>
    <xf numFmtId="2" fontId="12" fillId="16" borderId="29" xfId="1" applyNumberFormat="1" applyFont="1" applyFill="1" applyBorder="1" applyAlignment="1">
      <alignment horizontal="center" vertical="center"/>
    </xf>
    <xf numFmtId="0" fontId="24" fillId="13" borderId="23" xfId="0" applyFont="1" applyFill="1" applyBorder="1" applyAlignment="1">
      <alignment horizontal="left"/>
    </xf>
    <xf numFmtId="0" fontId="20" fillId="11" borderId="0" xfId="0" applyFont="1" applyFill="1"/>
    <xf numFmtId="0" fontId="20" fillId="11" borderId="0" xfId="0" quotePrefix="1" applyFont="1" applyFill="1"/>
    <xf numFmtId="0" fontId="27" fillId="12" borderId="28" xfId="0" applyFont="1" applyFill="1" applyBorder="1"/>
    <xf numFmtId="2" fontId="27" fillId="12" borderId="29" xfId="0" applyNumberFormat="1" applyFont="1" applyFill="1" applyBorder="1"/>
    <xf numFmtId="0" fontId="27" fillId="12" borderId="29" xfId="0" applyFont="1" applyFill="1" applyBorder="1"/>
    <xf numFmtId="0" fontId="35" fillId="12" borderId="28" xfId="0" applyFont="1" applyFill="1" applyBorder="1"/>
    <xf numFmtId="169" fontId="27" fillId="12" borderId="29" xfId="1" applyNumberFormat="1" applyFont="1" applyFill="1" applyBorder="1"/>
    <xf numFmtId="0" fontId="27" fillId="12" borderId="10" xfId="0" applyFont="1" applyFill="1" applyBorder="1"/>
    <xf numFmtId="171" fontId="27" fillId="12" borderId="26" xfId="0" applyNumberFormat="1" applyFont="1" applyFill="1" applyBorder="1"/>
    <xf numFmtId="169" fontId="27" fillId="12" borderId="0" xfId="1" applyNumberFormat="1" applyFont="1" applyFill="1" applyBorder="1"/>
    <xf numFmtId="0" fontId="27" fillId="12" borderId="26" xfId="0" applyFont="1" applyFill="1" applyBorder="1"/>
    <xf numFmtId="169" fontId="27" fillId="12" borderId="0" xfId="0" applyNumberFormat="1" applyFont="1" applyFill="1"/>
    <xf numFmtId="10" fontId="27" fillId="12" borderId="0" xfId="0" applyNumberFormat="1" applyFont="1" applyFill="1"/>
    <xf numFmtId="10" fontId="37" fillId="19" borderId="0" xfId="0" applyNumberFormat="1" applyFont="1" applyFill="1"/>
    <xf numFmtId="9" fontId="37" fillId="19" borderId="0" xfId="0" applyNumberFormat="1" applyFont="1" applyFill="1"/>
    <xf numFmtId="1" fontId="27" fillId="12" borderId="36" xfId="0" applyNumberFormat="1" applyFont="1" applyFill="1" applyBorder="1"/>
    <xf numFmtId="0" fontId="27" fillId="12" borderId="36" xfId="0" applyFont="1" applyFill="1" applyBorder="1"/>
    <xf numFmtId="1" fontId="27" fillId="12" borderId="2" xfId="0" applyNumberFormat="1" applyFont="1" applyFill="1" applyBorder="1"/>
    <xf numFmtId="0" fontId="27" fillId="12" borderId="2" xfId="0" applyFont="1" applyFill="1" applyBorder="1"/>
    <xf numFmtId="1" fontId="27" fillId="12" borderId="2" xfId="0" applyNumberFormat="1" applyFont="1" applyFill="1" applyBorder="1" applyAlignment="1">
      <alignment horizontal="right"/>
    </xf>
    <xf numFmtId="1" fontId="27" fillId="12" borderId="43" xfId="0" applyNumberFormat="1" applyFont="1" applyFill="1" applyBorder="1" applyAlignment="1">
      <alignment horizontal="right"/>
    </xf>
    <xf numFmtId="0" fontId="27" fillId="12" borderId="43" xfId="0" applyFont="1" applyFill="1" applyBorder="1"/>
    <xf numFmtId="0" fontId="27" fillId="12" borderId="35" xfId="0" applyFont="1" applyFill="1" applyBorder="1" applyAlignment="1">
      <alignment horizontal="right"/>
    </xf>
    <xf numFmtId="0" fontId="27" fillId="12" borderId="44" xfId="0" applyFont="1" applyFill="1" applyBorder="1"/>
    <xf numFmtId="10" fontId="31" fillId="12" borderId="9" xfId="0" applyNumberFormat="1" applyFont="1" applyFill="1" applyBorder="1" applyAlignment="1">
      <alignment horizontal="center" vertical="center"/>
    </xf>
    <xf numFmtId="10" fontId="31" fillId="12" borderId="9" xfId="1" applyNumberFormat="1" applyFont="1" applyFill="1" applyBorder="1" applyAlignment="1">
      <alignment horizontal="center" vertical="center"/>
    </xf>
    <xf numFmtId="10" fontId="31" fillId="12" borderId="2" xfId="1" applyNumberFormat="1" applyFont="1" applyFill="1" applyBorder="1" applyAlignment="1">
      <alignment horizontal="center" vertical="center"/>
    </xf>
    <xf numFmtId="10" fontId="27" fillId="12" borderId="9" xfId="1" applyNumberFormat="1" applyFont="1" applyFill="1" applyBorder="1" applyAlignment="1">
      <alignment horizontal="center" vertical="center"/>
    </xf>
    <xf numFmtId="2" fontId="27" fillId="12" borderId="9" xfId="0" applyNumberFormat="1" applyFont="1" applyFill="1" applyBorder="1" applyAlignment="1">
      <alignment horizontal="center" vertical="center"/>
    </xf>
    <xf numFmtId="169" fontId="31" fillId="12" borderId="9" xfId="1" applyNumberFormat="1" applyFont="1" applyFill="1" applyBorder="1" applyAlignment="1">
      <alignment horizontal="center" vertical="center"/>
    </xf>
    <xf numFmtId="169" fontId="31" fillId="12" borderId="2" xfId="1" applyNumberFormat="1" applyFont="1" applyFill="1" applyBorder="1" applyAlignment="1">
      <alignment horizontal="center" vertical="center"/>
    </xf>
    <xf numFmtId="10" fontId="36" fillId="18" borderId="2" xfId="1" applyNumberFormat="1" applyFont="1" applyFill="1" applyBorder="1" applyAlignment="1">
      <alignment horizontal="center" vertical="center"/>
    </xf>
    <xf numFmtId="2" fontId="36" fillId="18" borderId="2" xfId="0" applyNumberFormat="1" applyFont="1" applyFill="1" applyBorder="1" applyAlignment="1">
      <alignment horizontal="center" vertical="center"/>
    </xf>
    <xf numFmtId="10" fontId="34" fillId="18" borderId="2" xfId="0" applyNumberFormat="1" applyFont="1" applyFill="1" applyBorder="1" applyAlignment="1">
      <alignment horizontal="center" vertical="center"/>
    </xf>
    <xf numFmtId="0" fontId="27" fillId="12" borderId="25" xfId="0" applyFont="1" applyFill="1" applyBorder="1"/>
    <xf numFmtId="9" fontId="27" fillId="12" borderId="25" xfId="1" applyFont="1" applyFill="1" applyBorder="1"/>
    <xf numFmtId="0" fontId="27" fillId="12" borderId="27" xfId="0" applyFont="1" applyFill="1" applyBorder="1"/>
    <xf numFmtId="169" fontId="37" fillId="19" borderId="0" xfId="1" applyNumberFormat="1" applyFont="1" applyFill="1"/>
    <xf numFmtId="10" fontId="27" fillId="12" borderId="24" xfId="1" applyNumberFormat="1" applyFont="1" applyFill="1" applyBorder="1"/>
    <xf numFmtId="0" fontId="38" fillId="20" borderId="16" xfId="0" applyFont="1" applyFill="1" applyBorder="1"/>
    <xf numFmtId="0" fontId="33" fillId="14" borderId="4" xfId="0" applyFont="1" applyFill="1" applyBorder="1"/>
    <xf numFmtId="9" fontId="28" fillId="15" borderId="7" xfId="1" applyFont="1" applyFill="1" applyBorder="1" applyAlignment="1">
      <alignment horizontal="center" vertical="center"/>
    </xf>
    <xf numFmtId="1" fontId="28" fillId="21" borderId="14" xfId="0" applyNumberFormat="1" applyFont="1" applyFill="1" applyBorder="1" applyAlignment="1">
      <alignment horizontal="center" vertical="center"/>
    </xf>
    <xf numFmtId="171" fontId="6" fillId="11" borderId="0" xfId="0" applyNumberFormat="1" applyFont="1" applyFill="1"/>
    <xf numFmtId="0" fontId="6" fillId="11" borderId="0" xfId="0" applyFont="1" applyFill="1"/>
    <xf numFmtId="170" fontId="6" fillId="11" borderId="0" xfId="0" applyNumberFormat="1" applyFont="1" applyFill="1"/>
    <xf numFmtId="169" fontId="6" fillId="11" borderId="0" xfId="1" applyNumberFormat="1" applyFont="1" applyFill="1"/>
    <xf numFmtId="170" fontId="41" fillId="11" borderId="0" xfId="0" applyNumberFormat="1" applyFont="1" applyFill="1"/>
    <xf numFmtId="172" fontId="6" fillId="11" borderId="0" xfId="0" applyNumberFormat="1" applyFont="1" applyFill="1"/>
    <xf numFmtId="0" fontId="11" fillId="11" borderId="0" xfId="0" applyFont="1" applyFill="1"/>
    <xf numFmtId="173" fontId="6" fillId="11" borderId="0" xfId="0" applyNumberFormat="1" applyFont="1" applyFill="1"/>
    <xf numFmtId="0" fontId="25" fillId="7" borderId="6" xfId="0" applyFont="1" applyFill="1" applyBorder="1" applyAlignment="1">
      <alignment horizontal="center"/>
    </xf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/>
    <xf numFmtId="0" fontId="25" fillId="7" borderId="14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6" fillId="11" borderId="28" xfId="0" applyFont="1" applyFill="1" applyBorder="1" applyAlignment="1">
      <alignment vertical="center"/>
    </xf>
    <xf numFmtId="0" fontId="45" fillId="23" borderId="48" xfId="7" applyFont="1" applyFill="1" applyBorder="1" applyAlignment="1">
      <alignment horizontal="center" vertical="center"/>
    </xf>
    <xf numFmtId="0" fontId="45" fillId="23" borderId="49" xfId="7" applyFont="1" applyFill="1" applyBorder="1" applyAlignment="1">
      <alignment horizontal="center" vertical="center"/>
    </xf>
    <xf numFmtId="0" fontId="2" fillId="11" borderId="0" xfId="7" applyFill="1"/>
    <xf numFmtId="0" fontId="47" fillId="11" borderId="0" xfId="7" applyFont="1" applyFill="1" applyAlignment="1">
      <alignment horizontal="left"/>
    </xf>
    <xf numFmtId="0" fontId="46" fillId="11" borderId="0" xfId="7" applyFont="1" applyFill="1"/>
    <xf numFmtId="0" fontId="45" fillId="22" borderId="0" xfId="7" applyFont="1" applyFill="1" applyAlignment="1">
      <alignment vertical="center"/>
    </xf>
    <xf numFmtId="0" fontId="45" fillId="22" borderId="13" xfId="7" applyFont="1" applyFill="1" applyBorder="1" applyAlignment="1">
      <alignment vertical="center"/>
    </xf>
    <xf numFmtId="0" fontId="45" fillId="22" borderId="4" xfId="7" applyFont="1" applyFill="1" applyBorder="1" applyAlignment="1">
      <alignment vertical="center"/>
    </xf>
    <xf numFmtId="0" fontId="45" fillId="22" borderId="5" xfId="7" applyFont="1" applyFill="1" applyBorder="1" applyAlignment="1">
      <alignment vertical="center"/>
    </xf>
    <xf numFmtId="0" fontId="45" fillId="22" borderId="6" xfId="7" applyFont="1" applyFill="1" applyBorder="1" applyAlignment="1">
      <alignment vertical="center"/>
    </xf>
    <xf numFmtId="2" fontId="51" fillId="11" borderId="2" xfId="7" applyNumberFormat="1" applyFont="1" applyFill="1" applyBorder="1" applyAlignment="1">
      <alignment horizontal="center" vertical="center"/>
    </xf>
    <xf numFmtId="2" fontId="51" fillId="25" borderId="2" xfId="7" applyNumberFormat="1" applyFont="1" applyFill="1" applyBorder="1" applyAlignment="1">
      <alignment horizontal="center" vertical="center"/>
    </xf>
    <xf numFmtId="2" fontId="51" fillId="25" borderId="10" xfId="7" applyNumberFormat="1" applyFont="1" applyFill="1" applyBorder="1" applyAlignment="1">
      <alignment horizontal="center" vertical="center"/>
    </xf>
    <xf numFmtId="0" fontId="52" fillId="25" borderId="2" xfId="7" applyFont="1" applyFill="1" applyBorder="1"/>
    <xf numFmtId="2" fontId="51" fillId="11" borderId="10" xfId="7" applyNumberFormat="1" applyFont="1" applyFill="1" applyBorder="1" applyAlignment="1">
      <alignment horizontal="center" vertical="center"/>
    </xf>
    <xf numFmtId="0" fontId="52" fillId="11" borderId="2" xfId="7" applyFont="1" applyFill="1" applyBorder="1"/>
    <xf numFmtId="0" fontId="12" fillId="11" borderId="0" xfId="7" applyFont="1" applyFill="1"/>
    <xf numFmtId="0" fontId="12" fillId="11" borderId="0" xfId="7" applyFont="1" applyFill="1" applyAlignment="1">
      <alignment horizontal="center" wrapText="1"/>
    </xf>
    <xf numFmtId="2" fontId="51" fillId="11" borderId="0" xfId="7" applyNumberFormat="1" applyFont="1" applyFill="1" applyAlignment="1">
      <alignment horizontal="center" vertical="center"/>
    </xf>
    <xf numFmtId="0" fontId="52" fillId="25" borderId="48" xfId="7" applyFont="1" applyFill="1" applyBorder="1"/>
    <xf numFmtId="2" fontId="51" fillId="25" borderId="48" xfId="7" applyNumberFormat="1" applyFont="1" applyFill="1" applyBorder="1" applyAlignment="1">
      <alignment horizontal="center" vertical="center"/>
    </xf>
    <xf numFmtId="2" fontId="51" fillId="25" borderId="49" xfId="7" applyNumberFormat="1" applyFont="1" applyFill="1" applyBorder="1" applyAlignment="1">
      <alignment horizontal="center" vertical="center"/>
    </xf>
    <xf numFmtId="0" fontId="45" fillId="23" borderId="47" xfId="7" applyFont="1" applyFill="1" applyBorder="1" applyAlignment="1">
      <alignment horizontal="center" vertical="center"/>
    </xf>
    <xf numFmtId="2" fontId="51" fillId="11" borderId="9" xfId="7" applyNumberFormat="1" applyFont="1" applyFill="1" applyBorder="1" applyAlignment="1">
      <alignment horizontal="center" vertical="center"/>
    </xf>
    <xf numFmtId="2" fontId="51" fillId="25" borderId="9" xfId="7" applyNumberFormat="1" applyFont="1" applyFill="1" applyBorder="1" applyAlignment="1">
      <alignment horizontal="center" vertical="center"/>
    </xf>
    <xf numFmtId="2" fontId="51" fillId="25" borderId="47" xfId="7" applyNumberFormat="1" applyFont="1" applyFill="1" applyBorder="1" applyAlignment="1">
      <alignment horizontal="center" vertical="center"/>
    </xf>
    <xf numFmtId="0" fontId="52" fillId="11" borderId="36" xfId="7" applyFont="1" applyFill="1" applyBorder="1" applyAlignment="1">
      <alignment vertical="center"/>
    </xf>
    <xf numFmtId="0" fontId="51" fillId="11" borderId="36" xfId="7" applyFont="1" applyFill="1" applyBorder="1" applyAlignment="1">
      <alignment horizontal="center" vertical="center"/>
    </xf>
    <xf numFmtId="2" fontId="51" fillId="11" borderId="8" xfId="7" applyNumberFormat="1" applyFont="1" applyFill="1" applyBorder="1" applyAlignment="1">
      <alignment horizontal="center" vertical="center"/>
    </xf>
    <xf numFmtId="2" fontId="51" fillId="11" borderId="36" xfId="7" applyNumberFormat="1" applyFont="1" applyFill="1" applyBorder="1" applyAlignment="1">
      <alignment horizontal="center" vertical="center"/>
    </xf>
    <xf numFmtId="2" fontId="51" fillId="11" borderId="37" xfId="7" applyNumberFormat="1" applyFont="1" applyFill="1" applyBorder="1" applyAlignment="1">
      <alignment horizontal="center" vertical="center"/>
    </xf>
    <xf numFmtId="0" fontId="54" fillId="11" borderId="0" xfId="7" applyFont="1" applyFill="1"/>
    <xf numFmtId="0" fontId="11" fillId="12" borderId="2" xfId="7" applyFont="1" applyFill="1" applyBorder="1"/>
    <xf numFmtId="2" fontId="6" fillId="12" borderId="2" xfId="7" applyNumberFormat="1" applyFont="1" applyFill="1" applyBorder="1" applyAlignment="1">
      <alignment horizontal="center" vertical="center"/>
    </xf>
    <xf numFmtId="0" fontId="11" fillId="18" borderId="2" xfId="7" applyFont="1" applyFill="1" applyBorder="1"/>
    <xf numFmtId="2" fontId="6" fillId="18" borderId="2" xfId="7" applyNumberFormat="1" applyFont="1" applyFill="1" applyBorder="1" applyAlignment="1">
      <alignment horizontal="center" vertical="center"/>
    </xf>
    <xf numFmtId="0" fontId="6" fillId="12" borderId="8" xfId="7" applyFont="1" applyFill="1" applyBorder="1" applyAlignment="1">
      <alignment vertical="center"/>
    </xf>
    <xf numFmtId="0" fontId="11" fillId="12" borderId="36" xfId="7" applyFont="1" applyFill="1" applyBorder="1" applyAlignment="1">
      <alignment vertical="center"/>
    </xf>
    <xf numFmtId="2" fontId="6" fillId="11" borderId="0" xfId="7" applyNumberFormat="1" applyFont="1" applyFill="1" applyAlignment="1">
      <alignment horizontal="center" vertical="center"/>
    </xf>
    <xf numFmtId="0" fontId="6" fillId="18" borderId="9" xfId="7" applyFont="1" applyFill="1" applyBorder="1" applyAlignment="1">
      <alignment vertical="center"/>
    </xf>
    <xf numFmtId="2" fontId="6" fillId="18" borderId="10" xfId="7" applyNumberFormat="1" applyFont="1" applyFill="1" applyBorder="1" applyAlignment="1">
      <alignment horizontal="center" vertical="center"/>
    </xf>
    <xf numFmtId="0" fontId="6" fillId="12" borderId="9" xfId="7" applyFont="1" applyFill="1" applyBorder="1" applyAlignment="1">
      <alignment vertical="center"/>
    </xf>
    <xf numFmtId="2" fontId="6" fillId="12" borderId="10" xfId="7" applyNumberFormat="1" applyFont="1" applyFill="1" applyBorder="1" applyAlignment="1">
      <alignment horizontal="center" vertical="center"/>
    </xf>
    <xf numFmtId="0" fontId="45" fillId="22" borderId="28" xfId="7" applyFont="1" applyFill="1" applyBorder="1" applyAlignment="1">
      <alignment vertical="center"/>
    </xf>
    <xf numFmtId="0" fontId="45" fillId="11" borderId="0" xfId="7" applyFont="1" applyFill="1" applyAlignment="1">
      <alignment vertical="center"/>
    </xf>
    <xf numFmtId="0" fontId="53" fillId="11" borderId="0" xfId="7" applyFont="1" applyFill="1" applyAlignment="1">
      <alignment horizontal="center" vertical="center"/>
    </xf>
    <xf numFmtId="0" fontId="55" fillId="24" borderId="25" xfId="7" applyFont="1" applyFill="1" applyBorder="1" applyAlignment="1">
      <alignment horizontal="right"/>
    </xf>
    <xf numFmtId="2" fontId="6" fillId="12" borderId="36" xfId="7" applyNumberFormat="1" applyFont="1" applyFill="1" applyBorder="1" applyAlignment="1">
      <alignment horizontal="center" vertical="center"/>
    </xf>
    <xf numFmtId="2" fontId="6" fillId="12" borderId="37" xfId="7" applyNumberFormat="1" applyFont="1" applyFill="1" applyBorder="1" applyAlignment="1">
      <alignment horizontal="center" vertical="center"/>
    </xf>
    <xf numFmtId="2" fontId="6" fillId="18" borderId="48" xfId="7" applyNumberFormat="1" applyFont="1" applyFill="1" applyBorder="1" applyAlignment="1">
      <alignment horizontal="center" vertical="center"/>
    </xf>
    <xf numFmtId="2" fontId="6" fillId="18" borderId="49" xfId="7" applyNumberFormat="1" applyFont="1" applyFill="1" applyBorder="1" applyAlignment="1">
      <alignment horizontal="center" vertical="center"/>
    </xf>
    <xf numFmtId="0" fontId="6" fillId="18" borderId="47" xfId="7" applyFont="1" applyFill="1" applyBorder="1" applyAlignment="1">
      <alignment vertical="center"/>
    </xf>
    <xf numFmtId="0" fontId="58" fillId="11" borderId="0" xfId="7" applyFont="1" applyFill="1" applyAlignment="1">
      <alignment vertical="center"/>
    </xf>
    <xf numFmtId="0" fontId="58" fillId="11" borderId="0" xfId="7" applyFont="1" applyFill="1"/>
    <xf numFmtId="0" fontId="60" fillId="28" borderId="22" xfId="7" applyFont="1" applyFill="1" applyBorder="1" applyAlignment="1">
      <alignment horizontal="right"/>
    </xf>
    <xf numFmtId="2" fontId="61" fillId="16" borderId="16" xfId="7" applyNumberFormat="1" applyFont="1" applyFill="1" applyBorder="1" applyAlignment="1">
      <alignment horizontal="center" vertical="center"/>
    </xf>
    <xf numFmtId="2" fontId="61" fillId="16" borderId="20" xfId="7" applyNumberFormat="1" applyFont="1" applyFill="1" applyBorder="1" applyAlignment="1">
      <alignment horizontal="center" vertical="center"/>
    </xf>
    <xf numFmtId="2" fontId="61" fillId="16" borderId="22" xfId="7" applyNumberFormat="1" applyFont="1" applyFill="1" applyBorder="1" applyAlignment="1">
      <alignment horizontal="center" vertical="center"/>
    </xf>
    <xf numFmtId="0" fontId="62" fillId="16" borderId="48" xfId="7" applyFont="1" applyFill="1" applyBorder="1" applyAlignment="1">
      <alignment horizontal="center" vertical="center" wrapText="1"/>
    </xf>
    <xf numFmtId="0" fontId="62" fillId="16" borderId="49" xfId="7" applyFont="1" applyFill="1" applyBorder="1" applyAlignment="1">
      <alignment horizontal="center" vertical="center" wrapText="1"/>
    </xf>
    <xf numFmtId="0" fontId="63" fillId="11" borderId="0" xfId="7" applyFont="1" applyFill="1" applyAlignment="1">
      <alignment horizontal="left" wrapText="1"/>
    </xf>
    <xf numFmtId="0" fontId="63" fillId="16" borderId="9" xfId="7" applyFont="1" applyFill="1" applyBorder="1" applyAlignment="1">
      <alignment horizontal="left" vertical="center"/>
    </xf>
    <xf numFmtId="0" fontId="63" fillId="16" borderId="2" xfId="7" applyFont="1" applyFill="1" applyBorder="1" applyAlignment="1">
      <alignment horizontal="left" vertical="center"/>
    </xf>
    <xf numFmtId="0" fontId="63" fillId="16" borderId="10" xfId="7" applyFont="1" applyFill="1" applyBorder="1" applyAlignment="1">
      <alignment horizontal="left" vertical="center"/>
    </xf>
    <xf numFmtId="0" fontId="69" fillId="22" borderId="22" xfId="7" applyFont="1" applyFill="1" applyBorder="1" applyAlignment="1">
      <alignment horizontal="right"/>
    </xf>
    <xf numFmtId="0" fontId="61" fillId="16" borderId="15" xfId="7" applyFont="1" applyFill="1" applyBorder="1"/>
    <xf numFmtId="0" fontId="61" fillId="16" borderId="16" xfId="7" applyFont="1" applyFill="1" applyBorder="1"/>
    <xf numFmtId="0" fontId="70" fillId="26" borderId="8" xfId="7" applyFont="1" applyFill="1" applyBorder="1" applyAlignment="1">
      <alignment vertical="center"/>
    </xf>
    <xf numFmtId="0" fontId="70" fillId="27" borderId="9" xfId="7" applyFont="1" applyFill="1" applyBorder="1" applyAlignment="1">
      <alignment vertical="center"/>
    </xf>
    <xf numFmtId="0" fontId="70" fillId="26" borderId="9" xfId="7" applyFont="1" applyFill="1" applyBorder="1" applyAlignment="1">
      <alignment vertical="center"/>
    </xf>
    <xf numFmtId="0" fontId="70" fillId="27" borderId="47" xfId="7" applyFont="1" applyFill="1" applyBorder="1" applyAlignment="1">
      <alignment vertical="center"/>
    </xf>
    <xf numFmtId="9" fontId="51" fillId="25" borderId="2" xfId="1" applyFont="1" applyFill="1" applyBorder="1" applyAlignment="1">
      <alignment horizontal="center" vertical="center"/>
    </xf>
    <xf numFmtId="9" fontId="51" fillId="11" borderId="2" xfId="1" applyFont="1" applyFill="1" applyBorder="1" applyAlignment="1">
      <alignment horizontal="center" vertical="center"/>
    </xf>
    <xf numFmtId="9" fontId="51" fillId="25" borderId="48" xfId="1" applyFont="1" applyFill="1" applyBorder="1" applyAlignment="1">
      <alignment horizontal="center" vertical="center"/>
    </xf>
    <xf numFmtId="2" fontId="11" fillId="12" borderId="8" xfId="7" applyNumberFormat="1" applyFont="1" applyFill="1" applyBorder="1" applyAlignment="1">
      <alignment horizontal="center" vertical="center"/>
    </xf>
    <xf numFmtId="2" fontId="11" fillId="18" borderId="9" xfId="7" applyNumberFormat="1" applyFont="1" applyFill="1" applyBorder="1" applyAlignment="1">
      <alignment horizontal="center" vertical="center"/>
    </xf>
    <xf numFmtId="2" fontId="11" fillId="12" borderId="9" xfId="7" applyNumberFormat="1" applyFont="1" applyFill="1" applyBorder="1" applyAlignment="1">
      <alignment horizontal="center" vertical="center"/>
    </xf>
    <xf numFmtId="2" fontId="11" fillId="12" borderId="36" xfId="7" applyNumberFormat="1" applyFont="1" applyFill="1" applyBorder="1" applyAlignment="1">
      <alignment horizontal="center" vertical="center"/>
    </xf>
    <xf numFmtId="2" fontId="11" fillId="18" borderId="2" xfId="7" applyNumberFormat="1" applyFont="1" applyFill="1" applyBorder="1" applyAlignment="1">
      <alignment horizontal="center" vertical="center"/>
    </xf>
    <xf numFmtId="2" fontId="11" fillId="12" borderId="2" xfId="7" applyNumberFormat="1" applyFont="1" applyFill="1" applyBorder="1" applyAlignment="1">
      <alignment horizontal="center" vertical="center"/>
    </xf>
    <xf numFmtId="10" fontId="61" fillId="16" borderId="16" xfId="1" applyNumberFormat="1" applyFont="1" applyFill="1" applyBorder="1" applyAlignment="1">
      <alignment horizontal="center" vertical="center"/>
    </xf>
    <xf numFmtId="10" fontId="51" fillId="11" borderId="36" xfId="1" applyNumberFormat="1" applyFont="1" applyFill="1" applyBorder="1" applyAlignment="1">
      <alignment horizontal="center" vertical="center"/>
    </xf>
    <xf numFmtId="10" fontId="51" fillId="25" borderId="2" xfId="1" applyNumberFormat="1" applyFont="1" applyFill="1" applyBorder="1" applyAlignment="1">
      <alignment horizontal="center" vertical="center"/>
    </xf>
    <xf numFmtId="10" fontId="51" fillId="11" borderId="2" xfId="1" applyNumberFormat="1" applyFont="1" applyFill="1" applyBorder="1" applyAlignment="1">
      <alignment horizontal="center" vertical="center"/>
    </xf>
    <xf numFmtId="2" fontId="61" fillId="16" borderId="20" xfId="7" applyNumberFormat="1" applyFont="1" applyFill="1" applyBorder="1"/>
    <xf numFmtId="2" fontId="61" fillId="16" borderId="15" xfId="7" applyNumberFormat="1" applyFont="1" applyFill="1" applyBorder="1"/>
    <xf numFmtId="2" fontId="61" fillId="16" borderId="16" xfId="7" applyNumberFormat="1" applyFont="1" applyFill="1" applyBorder="1"/>
    <xf numFmtId="2" fontId="72" fillId="12" borderId="37" xfId="7" applyNumberFormat="1" applyFont="1" applyFill="1" applyBorder="1" applyAlignment="1">
      <alignment horizontal="center" vertical="center"/>
    </xf>
    <xf numFmtId="2" fontId="72" fillId="18" borderId="10" xfId="7" applyNumberFormat="1" applyFont="1" applyFill="1" applyBorder="1" applyAlignment="1">
      <alignment horizontal="center" vertical="center"/>
    </xf>
    <xf numFmtId="2" fontId="72" fillId="12" borderId="10" xfId="7" applyNumberFormat="1" applyFont="1" applyFill="1" applyBorder="1" applyAlignment="1">
      <alignment horizontal="center" vertical="center"/>
    </xf>
    <xf numFmtId="169" fontId="6" fillId="12" borderId="36" xfId="1" applyNumberFormat="1" applyFont="1" applyFill="1" applyBorder="1" applyAlignment="1">
      <alignment horizontal="left" vertical="center"/>
    </xf>
    <xf numFmtId="169" fontId="6" fillId="18" borderId="2" xfId="1" applyNumberFormat="1" applyFont="1" applyFill="1" applyBorder="1" applyAlignment="1">
      <alignment horizontal="left" vertical="center"/>
    </xf>
    <xf numFmtId="169" fontId="6" fillId="12" borderId="2" xfId="1" applyNumberFormat="1" applyFont="1" applyFill="1" applyBorder="1" applyAlignment="1">
      <alignment horizontal="left" vertical="center"/>
    </xf>
    <xf numFmtId="169" fontId="48" fillId="29" borderId="22" xfId="1" applyNumberFormat="1" applyFont="1" applyFill="1" applyBorder="1"/>
    <xf numFmtId="169" fontId="48" fillId="29" borderId="27" xfId="1" applyNumberFormat="1" applyFont="1" applyFill="1" applyBorder="1" applyAlignment="1">
      <alignment vertical="center"/>
    </xf>
    <xf numFmtId="169" fontId="48" fillId="29" borderId="25" xfId="1" applyNumberFormat="1" applyFont="1" applyFill="1" applyBorder="1" applyAlignment="1">
      <alignment vertical="center"/>
    </xf>
    <xf numFmtId="0" fontId="59" fillId="22" borderId="4" xfId="7" applyFont="1" applyFill="1" applyBorder="1" applyAlignment="1">
      <alignment vertical="center"/>
    </xf>
    <xf numFmtId="0" fontId="59" fillId="22" borderId="0" xfId="7" applyFont="1" applyFill="1" applyAlignment="1">
      <alignment vertical="center"/>
    </xf>
    <xf numFmtId="0" fontId="59" fillId="22" borderId="6" xfId="7" applyFont="1" applyFill="1" applyBorder="1" applyAlignment="1">
      <alignment vertical="center"/>
    </xf>
    <xf numFmtId="0" fontId="59" fillId="22" borderId="0" xfId="7" applyFont="1" applyFill="1" applyAlignment="1">
      <alignment horizontal="right" vertical="top"/>
    </xf>
    <xf numFmtId="0" fontId="59" fillId="22" borderId="0" xfId="7" applyFont="1" applyFill="1" applyAlignment="1">
      <alignment horizontal="right"/>
    </xf>
    <xf numFmtId="169" fontId="48" fillId="29" borderId="26" xfId="1" applyNumberFormat="1" applyFont="1" applyFill="1" applyBorder="1" applyAlignment="1">
      <alignment horizontal="center" vertical="center"/>
    </xf>
    <xf numFmtId="0" fontId="55" fillId="24" borderId="30" xfId="7" applyFont="1" applyFill="1" applyBorder="1" applyAlignment="1">
      <alignment horizontal="right"/>
    </xf>
    <xf numFmtId="0" fontId="67" fillId="24" borderId="13" xfId="7" applyFont="1" applyFill="1" applyBorder="1" applyAlignment="1">
      <alignment horizontal="right"/>
    </xf>
    <xf numFmtId="0" fontId="67" fillId="24" borderId="31" xfId="7" applyFont="1" applyFill="1" applyBorder="1" applyAlignment="1">
      <alignment horizontal="right"/>
    </xf>
    <xf numFmtId="2" fontId="1" fillId="11" borderId="0" xfId="7" applyNumberFormat="1" applyFont="1" applyFill="1" applyAlignment="1">
      <alignment horizontal="center" vertical="center"/>
    </xf>
    <xf numFmtId="2" fontId="6" fillId="12" borderId="8" xfId="7" applyNumberFormat="1" applyFont="1" applyFill="1" applyBorder="1" applyAlignment="1">
      <alignment horizontal="center" vertical="center"/>
    </xf>
    <xf numFmtId="2" fontId="6" fillId="18" borderId="47" xfId="7" applyNumberFormat="1" applyFont="1" applyFill="1" applyBorder="1" applyAlignment="1">
      <alignment horizontal="center" vertical="center"/>
    </xf>
    <xf numFmtId="169" fontId="11" fillId="18" borderId="13" xfId="1" applyNumberFormat="1" applyFont="1" applyFill="1" applyBorder="1" applyAlignment="1">
      <alignment horizontal="center" vertical="center"/>
    </xf>
    <xf numFmtId="169" fontId="11" fillId="18" borderId="4" xfId="1" applyNumberFormat="1" applyFont="1" applyFill="1" applyBorder="1" applyAlignment="1">
      <alignment horizontal="center" vertical="center"/>
    </xf>
    <xf numFmtId="169" fontId="11" fillId="18" borderId="36" xfId="1" applyNumberFormat="1" applyFont="1" applyFill="1" applyBorder="1" applyAlignment="1">
      <alignment horizontal="center" vertical="center"/>
    </xf>
    <xf numFmtId="169" fontId="11" fillId="12" borderId="5" xfId="1" applyNumberFormat="1" applyFont="1" applyFill="1" applyBorder="1" applyAlignment="1">
      <alignment horizontal="center" vertical="center"/>
    </xf>
    <xf numFmtId="169" fontId="11" fillId="12" borderId="6" xfId="1" applyNumberFormat="1" applyFont="1" applyFill="1" applyBorder="1" applyAlignment="1">
      <alignment horizontal="center" vertical="center"/>
    </xf>
    <xf numFmtId="169" fontId="11" fillId="12" borderId="48" xfId="1" applyNumberFormat="1" applyFont="1" applyFill="1" applyBorder="1" applyAlignment="1">
      <alignment horizontal="center" vertical="center"/>
    </xf>
    <xf numFmtId="169" fontId="60" fillId="11" borderId="0" xfId="1" applyNumberFormat="1" applyFont="1" applyFill="1" applyAlignment="1">
      <alignment horizontal="center" vertical="center"/>
    </xf>
    <xf numFmtId="169" fontId="11" fillId="18" borderId="37" xfId="1" applyNumberFormat="1" applyFont="1" applyFill="1" applyBorder="1" applyAlignment="1">
      <alignment horizontal="center" vertical="center"/>
    </xf>
    <xf numFmtId="169" fontId="11" fillId="12" borderId="49" xfId="1" applyNumberFormat="1" applyFont="1" applyFill="1" applyBorder="1" applyAlignment="1">
      <alignment horizontal="center" vertical="center"/>
    </xf>
    <xf numFmtId="0" fontId="71" fillId="22" borderId="22" xfId="7" applyFont="1" applyFill="1" applyBorder="1" applyAlignment="1">
      <alignment horizontal="left"/>
    </xf>
    <xf numFmtId="0" fontId="11" fillId="12" borderId="6" xfId="7" applyFont="1" applyFill="1" applyBorder="1"/>
    <xf numFmtId="2" fontId="6" fillId="12" borderId="48" xfId="7" applyNumberFormat="1" applyFont="1" applyFill="1" applyBorder="1" applyAlignment="1">
      <alignment horizontal="center" vertical="center"/>
    </xf>
    <xf numFmtId="169" fontId="6" fillId="12" borderId="6" xfId="1" applyNumberFormat="1" applyFont="1" applyFill="1" applyBorder="1" applyAlignment="1">
      <alignment horizontal="left" vertical="center"/>
    </xf>
    <xf numFmtId="2" fontId="72" fillId="12" borderId="49" xfId="7" applyNumberFormat="1" applyFont="1" applyFill="1" applyBorder="1" applyAlignment="1">
      <alignment horizontal="center" vertical="center"/>
    </xf>
    <xf numFmtId="2" fontId="11" fillId="12" borderId="5" xfId="7" applyNumberFormat="1" applyFont="1" applyFill="1" applyBorder="1" applyAlignment="1">
      <alignment horizontal="center" vertical="center"/>
    </xf>
    <xf numFmtId="2" fontId="11" fillId="12" borderId="6" xfId="7" applyNumberFormat="1" applyFont="1" applyFill="1" applyBorder="1" applyAlignment="1">
      <alignment horizontal="center" vertical="center"/>
    </xf>
    <xf numFmtId="2" fontId="6" fillId="12" borderId="49" xfId="7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0" fontId="29" fillId="11" borderId="0" xfId="0" applyFont="1" applyFill="1"/>
    <xf numFmtId="0" fontId="23" fillId="11" borderId="0" xfId="0" applyFont="1" applyFill="1"/>
    <xf numFmtId="0" fontId="45" fillId="23" borderId="71" xfId="7" applyFont="1" applyFill="1" applyBorder="1" applyAlignment="1">
      <alignment horizontal="center" vertical="center"/>
    </xf>
    <xf numFmtId="0" fontId="45" fillId="23" borderId="72" xfId="7" applyFont="1" applyFill="1" applyBorder="1" applyAlignment="1">
      <alignment horizontal="center" vertical="center"/>
    </xf>
    <xf numFmtId="0" fontId="45" fillId="23" borderId="73" xfId="7" applyFont="1" applyFill="1" applyBorder="1" applyAlignment="1">
      <alignment horizontal="center" vertical="center"/>
    </xf>
    <xf numFmtId="0" fontId="45" fillId="23" borderId="74" xfId="7" applyFont="1" applyFill="1" applyBorder="1" applyAlignment="1">
      <alignment horizontal="center" vertical="center"/>
    </xf>
    <xf numFmtId="0" fontId="79" fillId="11" borderId="0" xfId="0" applyFont="1" applyFill="1"/>
    <xf numFmtId="0" fontId="77" fillId="11" borderId="0" xfId="0" applyFont="1" applyFill="1" applyAlignment="1">
      <alignment horizontal="left"/>
    </xf>
    <xf numFmtId="0" fontId="77" fillId="11" borderId="0" xfId="0" applyFont="1" applyFill="1"/>
    <xf numFmtId="164" fontId="0" fillId="11" borderId="0" xfId="9" applyFont="1" applyFill="1"/>
    <xf numFmtId="164" fontId="45" fillId="23" borderId="70" xfId="9" applyFont="1" applyFill="1" applyBorder="1" applyAlignment="1">
      <alignment horizontal="center" vertical="center"/>
    </xf>
    <xf numFmtId="164" fontId="73" fillId="30" borderId="57" xfId="9" applyFont="1" applyFill="1" applyBorder="1" applyAlignment="1">
      <alignment vertical="center"/>
    </xf>
    <xf numFmtId="0" fontId="0" fillId="20" borderId="0" xfId="0" applyFill="1"/>
    <xf numFmtId="0" fontId="75" fillId="20" borderId="0" xfId="0" applyFont="1" applyFill="1"/>
    <xf numFmtId="0" fontId="0" fillId="20" borderId="83" xfId="0" applyFill="1" applyBorder="1" applyAlignment="1">
      <alignment horizontal="left"/>
    </xf>
    <xf numFmtId="0" fontId="0" fillId="20" borderId="84" xfId="0" applyFill="1" applyBorder="1"/>
    <xf numFmtId="0" fontId="0" fillId="20" borderId="86" xfId="0" applyFill="1" applyBorder="1" applyAlignment="1">
      <alignment horizontal="left"/>
    </xf>
    <xf numFmtId="0" fontId="0" fillId="20" borderId="88" xfId="0" applyFill="1" applyBorder="1" applyAlignment="1">
      <alignment horizontal="left"/>
    </xf>
    <xf numFmtId="0" fontId="0" fillId="20" borderId="89" xfId="0" applyFill="1" applyBorder="1"/>
    <xf numFmtId="0" fontId="74" fillId="20" borderId="79" xfId="0" applyFont="1" applyFill="1" applyBorder="1" applyAlignment="1">
      <alignment horizontal="right" vertical="center"/>
    </xf>
    <xf numFmtId="0" fontId="80" fillId="11" borderId="0" xfId="0" applyFont="1" applyFill="1"/>
    <xf numFmtId="0" fontId="79" fillId="11" borderId="82" xfId="0" applyFont="1" applyFill="1" applyBorder="1"/>
    <xf numFmtId="0" fontId="76" fillId="30" borderId="55" xfId="0" applyFont="1" applyFill="1" applyBorder="1" applyAlignment="1">
      <alignment vertical="center"/>
    </xf>
    <xf numFmtId="0" fontId="45" fillId="23" borderId="95" xfId="7" applyFont="1" applyFill="1" applyBorder="1" applyAlignment="1">
      <alignment horizontal="center" vertical="center"/>
    </xf>
    <xf numFmtId="164" fontId="45" fillId="23" borderId="96" xfId="9" applyFont="1" applyFill="1" applyBorder="1" applyAlignment="1">
      <alignment horizontal="center" vertical="center"/>
    </xf>
    <xf numFmtId="0" fontId="81" fillId="31" borderId="51" xfId="0" applyFont="1" applyFill="1" applyBorder="1" applyAlignment="1">
      <alignment horizontal="left" vertical="center"/>
    </xf>
    <xf numFmtId="164" fontId="73" fillId="30" borderId="56" xfId="0" applyNumberFormat="1" applyFont="1" applyFill="1" applyBorder="1" applyAlignment="1">
      <alignment vertical="center"/>
    </xf>
    <xf numFmtId="0" fontId="27" fillId="12" borderId="63" xfId="0" applyFont="1" applyFill="1" applyBorder="1" applyAlignment="1">
      <alignment horizontal="left"/>
    </xf>
    <xf numFmtId="0" fontId="27" fillId="12" borderId="75" xfId="0" applyFont="1" applyFill="1" applyBorder="1"/>
    <xf numFmtId="0" fontId="27" fillId="12" borderId="64" xfId="0" applyFont="1" applyFill="1" applyBorder="1"/>
    <xf numFmtId="0" fontId="27" fillId="12" borderId="66" xfId="0" applyFont="1" applyFill="1" applyBorder="1" applyAlignment="1">
      <alignment horizontal="left"/>
    </xf>
    <xf numFmtId="0" fontId="27" fillId="12" borderId="69" xfId="0" applyFont="1" applyFill="1" applyBorder="1"/>
    <xf numFmtId="0" fontId="27" fillId="12" borderId="0" xfId="0" applyFont="1" applyFill="1"/>
    <xf numFmtId="0" fontId="27" fillId="12" borderId="68" xfId="0" applyFont="1" applyFill="1" applyBorder="1"/>
    <xf numFmtId="0" fontId="27" fillId="18" borderId="63" xfId="0" applyFont="1" applyFill="1" applyBorder="1" applyAlignment="1">
      <alignment horizontal="left"/>
    </xf>
    <xf numFmtId="0" fontId="27" fillId="12" borderId="77" xfId="0" applyFont="1" applyFill="1" applyBorder="1" applyAlignment="1">
      <alignment horizontal="left"/>
    </xf>
    <xf numFmtId="0" fontId="27" fillId="18" borderId="50" xfId="0" applyFont="1" applyFill="1" applyBorder="1"/>
    <xf numFmtId="9" fontId="27" fillId="18" borderId="50" xfId="1" applyFont="1" applyFill="1" applyBorder="1"/>
    <xf numFmtId="0" fontId="81" fillId="31" borderId="51" xfId="0" applyFont="1" applyFill="1" applyBorder="1"/>
    <xf numFmtId="0" fontId="81" fillId="31" borderId="52" xfId="0" applyFont="1" applyFill="1" applyBorder="1"/>
    <xf numFmtId="0" fontId="74" fillId="20" borderId="91" xfId="0" applyFont="1" applyFill="1" applyBorder="1" applyAlignment="1">
      <alignment horizontal="right" vertical="center"/>
    </xf>
    <xf numFmtId="0" fontId="74" fillId="20" borderId="0" xfId="0" applyFont="1" applyFill="1" applyAlignment="1">
      <alignment horizontal="right" vertical="center"/>
    </xf>
    <xf numFmtId="0" fontId="74" fillId="20" borderId="92" xfId="0" applyFont="1" applyFill="1" applyBorder="1" applyAlignment="1">
      <alignment horizontal="right" vertical="center"/>
    </xf>
    <xf numFmtId="0" fontId="74" fillId="20" borderId="89" xfId="0" applyFont="1" applyFill="1" applyBorder="1" applyAlignment="1">
      <alignment vertical="center"/>
    </xf>
    <xf numFmtId="0" fontId="74" fillId="20" borderId="84" xfId="0" applyFont="1" applyFill="1" applyBorder="1"/>
    <xf numFmtId="0" fontId="83" fillId="21" borderId="85" xfId="10" applyNumberFormat="1" applyFont="1" applyFill="1" applyBorder="1" applyAlignment="1">
      <alignment horizontal="right" vertical="center"/>
    </xf>
    <xf numFmtId="10" fontId="83" fillId="21" borderId="90" xfId="1" applyNumberFormat="1" applyFont="1" applyFill="1" applyBorder="1" applyAlignment="1">
      <alignment horizontal="right" vertical="center"/>
    </xf>
    <xf numFmtId="9" fontId="70" fillId="12" borderId="0" xfId="1" applyFont="1" applyFill="1" applyBorder="1" applyAlignment="1">
      <alignment horizontal="center" vertical="center"/>
    </xf>
    <xf numFmtId="9" fontId="85" fillId="12" borderId="0" xfId="1" applyFont="1" applyFill="1" applyBorder="1" applyAlignment="1">
      <alignment horizontal="center" vertical="center"/>
    </xf>
    <xf numFmtId="0" fontId="70" fillId="18" borderId="0" xfId="10" applyNumberFormat="1" applyFont="1" applyFill="1" applyBorder="1" applyAlignment="1">
      <alignment horizontal="center" vertical="center"/>
    </xf>
    <xf numFmtId="170" fontId="27" fillId="12" borderId="67" xfId="9" applyNumberFormat="1" applyFont="1" applyFill="1" applyBorder="1"/>
    <xf numFmtId="165" fontId="27" fillId="12" borderId="0" xfId="10" applyFont="1" applyFill="1" applyBorder="1"/>
    <xf numFmtId="0" fontId="6" fillId="11" borderId="0" xfId="0" applyFont="1" applyFill="1" applyAlignment="1">
      <alignment horizontal="center"/>
    </xf>
    <xf numFmtId="0" fontId="77" fillId="32" borderId="99" xfId="0" applyFont="1" applyFill="1" applyBorder="1"/>
    <xf numFmtId="9" fontId="77" fillId="32" borderId="100" xfId="1" applyFont="1" applyFill="1" applyBorder="1" applyAlignment="1">
      <alignment horizontal="center" vertical="center"/>
    </xf>
    <xf numFmtId="10" fontId="77" fillId="32" borderId="101" xfId="1" applyNumberFormat="1" applyFont="1" applyFill="1" applyBorder="1" applyAlignment="1">
      <alignment horizontal="center" vertical="center"/>
    </xf>
    <xf numFmtId="0" fontId="84" fillId="5" borderId="102" xfId="0" applyFont="1" applyFill="1" applyBorder="1"/>
    <xf numFmtId="0" fontId="0" fillId="5" borderId="103" xfId="0" applyFill="1" applyBorder="1"/>
    <xf numFmtId="0" fontId="0" fillId="5" borderId="104" xfId="0" applyFill="1" applyBorder="1"/>
    <xf numFmtId="0" fontId="85" fillId="12" borderId="105" xfId="0" applyFont="1" applyFill="1" applyBorder="1"/>
    <xf numFmtId="10" fontId="85" fillId="12" borderId="106" xfId="1" applyNumberFormat="1" applyFont="1" applyFill="1" applyBorder="1" applyAlignment="1">
      <alignment horizontal="center" vertical="center"/>
    </xf>
    <xf numFmtId="0" fontId="36" fillId="12" borderId="105" xfId="0" applyFont="1" applyFill="1" applyBorder="1"/>
    <xf numFmtId="10" fontId="36" fillId="12" borderId="106" xfId="1" applyNumberFormat="1" applyFont="1" applyFill="1" applyBorder="1" applyAlignment="1">
      <alignment horizontal="center" vertical="center"/>
    </xf>
    <xf numFmtId="0" fontId="6" fillId="11" borderId="105" xfId="0" applyFont="1" applyFill="1" applyBorder="1"/>
    <xf numFmtId="0" fontId="6" fillId="11" borderId="106" xfId="0" applyFont="1" applyFill="1" applyBorder="1" applyAlignment="1">
      <alignment horizontal="center"/>
    </xf>
    <xf numFmtId="174" fontId="6" fillId="12" borderId="9" xfId="0" applyNumberFormat="1" applyFont="1" applyFill="1" applyBorder="1"/>
    <xf numFmtId="174" fontId="0" fillId="6" borderId="2" xfId="0" applyNumberFormat="1" applyFill="1" applyBorder="1"/>
    <xf numFmtId="174" fontId="0" fillId="4" borderId="0" xfId="0" applyNumberFormat="1" applyFill="1"/>
    <xf numFmtId="174" fontId="0" fillId="3" borderId="2" xfId="0" applyNumberFormat="1" applyFill="1" applyBorder="1"/>
    <xf numFmtId="174" fontId="0" fillId="8" borderId="2" xfId="0" applyNumberFormat="1" applyFill="1" applyBorder="1"/>
    <xf numFmtId="174" fontId="0" fillId="9" borderId="2" xfId="0" applyNumberFormat="1" applyFill="1" applyBorder="1"/>
    <xf numFmtId="174" fontId="0" fillId="9" borderId="10" xfId="0" applyNumberFormat="1" applyFill="1" applyBorder="1"/>
    <xf numFmtId="174" fontId="12" fillId="11" borderId="0" xfId="0" applyNumberFormat="1" applyFont="1" applyFill="1"/>
    <xf numFmtId="174" fontId="0" fillId="11" borderId="0" xfId="0" applyNumberFormat="1" applyFill="1"/>
    <xf numFmtId="174" fontId="15" fillId="12" borderId="8" xfId="0" applyNumberFormat="1" applyFont="1" applyFill="1" applyBorder="1"/>
    <xf numFmtId="174" fontId="5" fillId="6" borderId="2" xfId="0" applyNumberFormat="1" applyFont="1" applyFill="1" applyBorder="1"/>
    <xf numFmtId="174" fontId="5" fillId="4" borderId="0" xfId="0" applyNumberFormat="1" applyFont="1" applyFill="1"/>
    <xf numFmtId="174" fontId="5" fillId="3" borderId="2" xfId="0" applyNumberFormat="1" applyFont="1" applyFill="1" applyBorder="1"/>
    <xf numFmtId="174" fontId="5" fillId="8" borderId="2" xfId="0" applyNumberFormat="1" applyFont="1" applyFill="1" applyBorder="1"/>
    <xf numFmtId="174" fontId="5" fillId="9" borderId="2" xfId="0" applyNumberFormat="1" applyFont="1" applyFill="1" applyBorder="1"/>
    <xf numFmtId="174" fontId="5" fillId="9" borderId="10" xfId="0" applyNumberFormat="1" applyFont="1" applyFill="1" applyBorder="1"/>
    <xf numFmtId="174" fontId="13" fillId="11" borderId="0" xfId="0" applyNumberFormat="1" applyFont="1" applyFill="1"/>
    <xf numFmtId="174" fontId="5" fillId="11" borderId="0" xfId="0" applyNumberFormat="1" applyFont="1" applyFill="1"/>
    <xf numFmtId="174" fontId="15" fillId="12" borderId="9" xfId="0" applyNumberFormat="1" applyFont="1" applyFill="1" applyBorder="1"/>
    <xf numFmtId="174" fontId="5" fillId="0" borderId="0" xfId="0" applyNumberFormat="1" applyFont="1"/>
    <xf numFmtId="174" fontId="5" fillId="8" borderId="10" xfId="0" applyNumberFormat="1" applyFont="1" applyFill="1" applyBorder="1"/>
    <xf numFmtId="174" fontId="11" fillId="12" borderId="11" xfId="0" applyNumberFormat="1" applyFont="1" applyFill="1" applyBorder="1"/>
    <xf numFmtId="174" fontId="5" fillId="3" borderId="1" xfId="0" applyNumberFormat="1" applyFont="1" applyFill="1" applyBorder="1"/>
    <xf numFmtId="174" fontId="5" fillId="0" borderId="3" xfId="0" applyNumberFormat="1" applyFont="1" applyBorder="1"/>
    <xf numFmtId="174" fontId="5" fillId="8" borderId="1" xfId="0" applyNumberFormat="1" applyFont="1" applyFill="1" applyBorder="1"/>
    <xf numFmtId="174" fontId="5" fillId="8" borderId="12" xfId="0" applyNumberFormat="1" applyFont="1" applyFill="1" applyBorder="1"/>
    <xf numFmtId="174" fontId="11" fillId="12" borderId="9" xfId="0" applyNumberFormat="1" applyFont="1" applyFill="1" applyBorder="1"/>
    <xf numFmtId="174" fontId="0" fillId="0" borderId="0" xfId="0" applyNumberFormat="1"/>
    <xf numFmtId="174" fontId="0" fillId="8" borderId="10" xfId="0" applyNumberFormat="1" applyFill="1" applyBorder="1"/>
    <xf numFmtId="174" fontId="6" fillId="12" borderId="11" xfId="0" applyNumberFormat="1" applyFont="1" applyFill="1" applyBorder="1" applyAlignment="1">
      <alignment wrapText="1"/>
    </xf>
    <xf numFmtId="174" fontId="0" fillId="3" borderId="1" xfId="0" applyNumberFormat="1" applyFill="1" applyBorder="1" applyAlignment="1">
      <alignment vertical="top"/>
    </xf>
    <xf numFmtId="174" fontId="0" fillId="0" borderId="3" xfId="0" applyNumberFormat="1" applyBorder="1" applyAlignment="1">
      <alignment vertical="top"/>
    </xf>
    <xf numFmtId="174" fontId="0" fillId="8" borderId="1" xfId="0" applyNumberFormat="1" applyFill="1" applyBorder="1" applyAlignment="1">
      <alignment vertical="top"/>
    </xf>
    <xf numFmtId="174" fontId="0" fillId="8" borderId="12" xfId="0" applyNumberFormat="1" applyFill="1" applyBorder="1" applyAlignment="1">
      <alignment vertical="top"/>
    </xf>
    <xf numFmtId="174" fontId="6" fillId="12" borderId="11" xfId="0" applyNumberFormat="1" applyFont="1" applyFill="1" applyBorder="1"/>
    <xf numFmtId="174" fontId="0" fillId="3" borderId="1" xfId="0" applyNumberFormat="1" applyFill="1" applyBorder="1"/>
    <xf numFmtId="174" fontId="0" fillId="0" borderId="3" xfId="0" applyNumberFormat="1" applyBorder="1"/>
    <xf numFmtId="174" fontId="0" fillId="8" borderId="1" xfId="0" applyNumberFormat="1" applyFill="1" applyBorder="1"/>
    <xf numFmtId="174" fontId="0" fillId="8" borderId="12" xfId="0" applyNumberFormat="1" applyFill="1" applyBorder="1"/>
    <xf numFmtId="174" fontId="6" fillId="11" borderId="0" xfId="0" applyNumberFormat="1" applyFont="1" applyFill="1"/>
    <xf numFmtId="174" fontId="33" fillId="14" borderId="0" xfId="0" applyNumberFormat="1" applyFont="1" applyFill="1" applyAlignment="1">
      <alignment vertical="center"/>
    </xf>
    <xf numFmtId="174" fontId="23" fillId="14" borderId="0" xfId="0" applyNumberFormat="1" applyFont="1" applyFill="1" applyAlignment="1">
      <alignment vertical="center"/>
    </xf>
    <xf numFmtId="174" fontId="27" fillId="14" borderId="21" xfId="0" applyNumberFormat="1" applyFont="1" applyFill="1" applyBorder="1" applyAlignment="1">
      <alignment horizontal="right" vertical="center"/>
    </xf>
    <xf numFmtId="174" fontId="28" fillId="15" borderId="29" xfId="0" applyNumberFormat="1" applyFont="1" applyFill="1" applyBorder="1" applyAlignment="1">
      <alignment horizontal="center" vertical="center"/>
    </xf>
    <xf numFmtId="174" fontId="27" fillId="12" borderId="25" xfId="0" applyNumberFormat="1" applyFont="1" applyFill="1" applyBorder="1"/>
    <xf numFmtId="174" fontId="27" fillId="12" borderId="4" xfId="0" applyNumberFormat="1" applyFont="1" applyFill="1" applyBorder="1"/>
    <xf numFmtId="174" fontId="27" fillId="12" borderId="37" xfId="0" applyNumberFormat="1" applyFont="1" applyFill="1" applyBorder="1"/>
    <xf numFmtId="174" fontId="27" fillId="12" borderId="26" xfId="0" applyNumberFormat="1" applyFont="1" applyFill="1" applyBorder="1"/>
    <xf numFmtId="174" fontId="27" fillId="12" borderId="0" xfId="0" applyNumberFormat="1" applyFont="1" applyFill="1"/>
    <xf numFmtId="174" fontId="27" fillId="12" borderId="10" xfId="0" applyNumberFormat="1" applyFont="1" applyFill="1" applyBorder="1"/>
    <xf numFmtId="174" fontId="11" fillId="11" borderId="0" xfId="0" applyNumberFormat="1" applyFont="1" applyFill="1"/>
    <xf numFmtId="174" fontId="31" fillId="12" borderId="34" xfId="0" applyNumberFormat="1" applyFont="1" applyFill="1" applyBorder="1" applyAlignment="1">
      <alignment wrapText="1"/>
    </xf>
    <xf numFmtId="174" fontId="31" fillId="12" borderId="3" xfId="0" applyNumberFormat="1" applyFont="1" applyFill="1" applyBorder="1" applyAlignment="1">
      <alignment vertical="top"/>
    </xf>
    <xf numFmtId="174" fontId="31" fillId="12" borderId="10" xfId="0" applyNumberFormat="1" applyFont="1" applyFill="1" applyBorder="1"/>
    <xf numFmtId="174" fontId="36" fillId="18" borderId="0" xfId="0" applyNumberFormat="1" applyFont="1" applyFill="1"/>
    <xf numFmtId="174" fontId="37" fillId="19" borderId="0" xfId="0" applyNumberFormat="1" applyFont="1" applyFill="1"/>
    <xf numFmtId="174" fontId="31" fillId="12" borderId="30" xfId="0" applyNumberFormat="1" applyFont="1" applyFill="1" applyBorder="1"/>
    <xf numFmtId="174" fontId="31" fillId="12" borderId="32" xfId="0" applyNumberFormat="1" applyFont="1" applyFill="1" applyBorder="1"/>
    <xf numFmtId="174" fontId="31" fillId="12" borderId="38" xfId="0" applyNumberFormat="1" applyFont="1" applyFill="1" applyBorder="1"/>
    <xf numFmtId="174" fontId="27" fillId="12" borderId="29" xfId="0" applyNumberFormat="1" applyFont="1" applyFill="1" applyBorder="1"/>
    <xf numFmtId="174" fontId="35" fillId="12" borderId="29" xfId="0" applyNumberFormat="1" applyFont="1" applyFill="1" applyBorder="1"/>
    <xf numFmtId="174" fontId="36" fillId="18" borderId="29" xfId="0" applyNumberFormat="1" applyFont="1" applyFill="1" applyBorder="1"/>
    <xf numFmtId="174" fontId="27" fillId="12" borderId="24" xfId="0" applyNumberFormat="1" applyFont="1" applyFill="1" applyBorder="1"/>
    <xf numFmtId="174" fontId="27" fillId="12" borderId="6" xfId="0" applyNumberFormat="1" applyFont="1" applyFill="1" applyBorder="1"/>
    <xf numFmtId="174" fontId="27" fillId="12" borderId="8" xfId="0" applyNumberFormat="1" applyFont="1" applyFill="1" applyBorder="1" applyAlignment="1">
      <alignment horizontal="right" vertical="center"/>
    </xf>
    <xf numFmtId="174" fontId="36" fillId="18" borderId="36" xfId="0" applyNumberFormat="1" applyFont="1" applyFill="1" applyBorder="1" applyAlignment="1">
      <alignment horizontal="right" vertical="center"/>
    </xf>
    <xf numFmtId="174" fontId="27" fillId="12" borderId="9" xfId="0" applyNumberFormat="1" applyFont="1" applyFill="1" applyBorder="1" applyAlignment="1">
      <alignment horizontal="right" vertical="center"/>
    </xf>
    <xf numFmtId="174" fontId="36" fillId="18" borderId="2" xfId="0" applyNumberFormat="1" applyFont="1" applyFill="1" applyBorder="1" applyAlignment="1">
      <alignment horizontal="right" vertical="center"/>
    </xf>
    <xf numFmtId="174" fontId="27" fillId="12" borderId="2" xfId="0" applyNumberFormat="1" applyFont="1" applyFill="1" applyBorder="1" applyAlignment="1">
      <alignment horizontal="right" vertical="center"/>
    </xf>
    <xf numFmtId="174" fontId="31" fillId="12" borderId="15" xfId="0" applyNumberFormat="1" applyFont="1" applyFill="1" applyBorder="1" applyAlignment="1">
      <alignment horizontal="right" vertical="center"/>
    </xf>
    <xf numFmtId="174" fontId="36" fillId="12" borderId="16" xfId="0" applyNumberFormat="1" applyFont="1" applyFill="1" applyBorder="1" applyAlignment="1">
      <alignment horizontal="right" vertical="center"/>
    </xf>
    <xf numFmtId="174" fontId="12" fillId="16" borderId="24" xfId="0" applyNumberFormat="1" applyFont="1" applyFill="1" applyBorder="1" applyAlignment="1">
      <alignment horizontal="center" vertical="center"/>
    </xf>
    <xf numFmtId="174" fontId="12" fillId="16" borderId="14" xfId="0" applyNumberFormat="1" applyFont="1" applyFill="1" applyBorder="1" applyAlignment="1">
      <alignment horizontal="center" vertical="center"/>
    </xf>
    <xf numFmtId="174" fontId="12" fillId="16" borderId="29" xfId="0" applyNumberFormat="1" applyFont="1" applyFill="1" applyBorder="1" applyAlignment="1">
      <alignment horizontal="center" vertical="center"/>
    </xf>
    <xf numFmtId="175" fontId="31" fillId="12" borderId="24" xfId="0" applyNumberFormat="1" applyFont="1" applyFill="1" applyBorder="1"/>
    <xf numFmtId="176" fontId="27" fillId="12" borderId="76" xfId="9" applyNumberFormat="1" applyFont="1" applyFill="1" applyBorder="1"/>
    <xf numFmtId="176" fontId="27" fillId="12" borderId="65" xfId="9" applyNumberFormat="1" applyFont="1" applyFill="1" applyBorder="1" applyAlignment="1">
      <alignment horizontal="center"/>
    </xf>
    <xf numFmtId="176" fontId="27" fillId="12" borderId="50" xfId="9" applyNumberFormat="1" applyFont="1" applyFill="1" applyBorder="1"/>
    <xf numFmtId="176" fontId="27" fillId="12" borderId="67" xfId="9" applyNumberFormat="1" applyFont="1" applyFill="1" applyBorder="1" applyAlignment="1">
      <alignment horizontal="center"/>
    </xf>
    <xf numFmtId="176" fontId="27" fillId="18" borderId="50" xfId="9" applyNumberFormat="1" applyFont="1" applyFill="1" applyBorder="1"/>
    <xf numFmtId="164" fontId="83" fillId="21" borderId="87" xfId="9" applyFont="1" applyFill="1" applyBorder="1" applyAlignment="1">
      <alignment horizontal="right" vertical="center"/>
    </xf>
    <xf numFmtId="164" fontId="27" fillId="12" borderId="67" xfId="9" applyFont="1" applyFill="1" applyBorder="1"/>
    <xf numFmtId="164" fontId="81" fillId="12" borderId="67" xfId="9" applyFont="1" applyFill="1" applyBorder="1"/>
    <xf numFmtId="164" fontId="81" fillId="12" borderId="50" xfId="9" applyFont="1" applyFill="1" applyBorder="1"/>
    <xf numFmtId="164" fontId="81" fillId="31" borderId="54" xfId="9" applyFont="1" applyFill="1" applyBorder="1" applyAlignment="1">
      <alignment horizontal="center"/>
    </xf>
    <xf numFmtId="164" fontId="27" fillId="12" borderId="76" xfId="9" applyFont="1" applyFill="1" applyBorder="1"/>
    <xf numFmtId="164" fontId="27" fillId="18" borderId="97" xfId="9" applyFont="1" applyFill="1" applyBorder="1"/>
    <xf numFmtId="164" fontId="27" fillId="12" borderId="50" xfId="9" applyFont="1" applyFill="1" applyBorder="1"/>
    <xf numFmtId="164" fontId="27" fillId="12" borderId="79" xfId="9" applyFont="1" applyFill="1" applyBorder="1"/>
    <xf numFmtId="164" fontId="27" fillId="12" borderId="78" xfId="9" applyFont="1" applyFill="1" applyBorder="1"/>
    <xf numFmtId="164" fontId="27" fillId="12" borderId="98" xfId="9" applyFont="1" applyFill="1" applyBorder="1"/>
    <xf numFmtId="164" fontId="81" fillId="31" borderId="80" xfId="9" applyFont="1" applyFill="1" applyBorder="1"/>
    <xf numFmtId="164" fontId="81" fillId="31" borderId="81" xfId="9" applyFont="1" applyFill="1" applyBorder="1" applyAlignment="1"/>
    <xf numFmtId="164" fontId="81" fillId="31" borderId="53" xfId="9" applyFont="1" applyFill="1" applyBorder="1"/>
    <xf numFmtId="164" fontId="85" fillId="12" borderId="0" xfId="9" applyFont="1" applyFill="1" applyBorder="1" applyAlignment="1">
      <alignment vertical="center"/>
    </xf>
    <xf numFmtId="164" fontId="36" fillId="12" borderId="0" xfId="9" applyFont="1" applyFill="1" applyBorder="1" applyAlignment="1">
      <alignment vertical="center"/>
    </xf>
    <xf numFmtId="164" fontId="77" fillId="32" borderId="100" xfId="9" applyFont="1" applyFill="1" applyBorder="1" applyAlignment="1">
      <alignment vertical="center"/>
    </xf>
    <xf numFmtId="0" fontId="44" fillId="7" borderId="13" xfId="0" applyFont="1" applyFill="1" applyBorder="1" applyAlignment="1">
      <alignment horizontal="left" vertical="center"/>
    </xf>
    <xf numFmtId="0" fontId="44" fillId="7" borderId="5" xfId="0" applyFont="1" applyFill="1" applyBorder="1" applyAlignment="1">
      <alignment horizontal="left" vertical="center"/>
    </xf>
    <xf numFmtId="0" fontId="32" fillId="14" borderId="28" xfId="0" applyFont="1" applyFill="1" applyBorder="1" applyAlignment="1">
      <alignment horizontal="left" vertical="center"/>
    </xf>
    <xf numFmtId="0" fontId="27" fillId="14" borderId="6" xfId="0" applyFont="1" applyFill="1" applyBorder="1" applyAlignment="1">
      <alignment horizontal="right" vertical="center"/>
    </xf>
    <xf numFmtId="0" fontId="27" fillId="14" borderId="42" xfId="0" applyFont="1" applyFill="1" applyBorder="1" applyAlignment="1">
      <alignment horizontal="right" vertical="center"/>
    </xf>
    <xf numFmtId="0" fontId="39" fillId="11" borderId="0" xfId="0" applyFont="1" applyFill="1" applyAlignment="1">
      <alignment horizontal="right" textRotation="90"/>
    </xf>
    <xf numFmtId="0" fontId="24" fillId="13" borderId="23" xfId="0" applyFont="1" applyFill="1" applyBorder="1" applyAlignment="1">
      <alignment horizontal="center"/>
    </xf>
    <xf numFmtId="0" fontId="24" fillId="13" borderId="24" xfId="0" applyFont="1" applyFill="1" applyBorder="1" applyAlignment="1">
      <alignment horizontal="center"/>
    </xf>
    <xf numFmtId="0" fontId="32" fillId="12" borderId="28" xfId="0" applyFont="1" applyFill="1" applyBorder="1" applyAlignment="1">
      <alignment vertical="center" wrapText="1"/>
    </xf>
    <xf numFmtId="0" fontId="32" fillId="12" borderId="29" xfId="0" applyFont="1" applyFill="1" applyBorder="1" applyAlignment="1">
      <alignment vertical="center" wrapText="1"/>
    </xf>
    <xf numFmtId="0" fontId="31" fillId="12" borderId="28" xfId="0" applyFont="1" applyFill="1" applyBorder="1" applyAlignment="1">
      <alignment vertical="center" wrapText="1"/>
    </xf>
    <xf numFmtId="0" fontId="31" fillId="12" borderId="29" xfId="0" applyFont="1" applyFill="1" applyBorder="1" applyAlignment="1">
      <alignment vertical="center" wrapText="1"/>
    </xf>
    <xf numFmtId="0" fontId="24" fillId="13" borderId="23" xfId="0" applyFont="1" applyFill="1" applyBorder="1"/>
    <xf numFmtId="0" fontId="24" fillId="13" borderId="18" xfId="0" applyFont="1" applyFill="1" applyBorder="1"/>
    <xf numFmtId="174" fontId="31" fillId="12" borderId="31" xfId="0" applyNumberFormat="1" applyFont="1" applyFill="1" applyBorder="1"/>
    <xf numFmtId="174" fontId="31" fillId="12" borderId="32" xfId="0" applyNumberFormat="1" applyFont="1" applyFill="1" applyBorder="1"/>
    <xf numFmtId="174" fontId="36" fillId="18" borderId="40" xfId="0" applyNumberFormat="1" applyFont="1" applyFill="1" applyBorder="1"/>
    <xf numFmtId="174" fontId="36" fillId="18" borderId="41" xfId="0" applyNumberFormat="1" applyFont="1" applyFill="1" applyBorder="1"/>
    <xf numFmtId="169" fontId="27" fillId="12" borderId="28" xfId="1" applyNumberFormat="1" applyFont="1" applyFill="1" applyBorder="1"/>
    <xf numFmtId="169" fontId="27" fillId="12" borderId="0" xfId="1" applyNumberFormat="1" applyFont="1" applyFill="1" applyBorder="1"/>
    <xf numFmtId="174" fontId="36" fillId="18" borderId="28" xfId="0" applyNumberFormat="1" applyFont="1" applyFill="1" applyBorder="1"/>
    <xf numFmtId="174" fontId="36" fillId="18" borderId="0" xfId="0" applyNumberFormat="1" applyFont="1" applyFill="1"/>
    <xf numFmtId="174" fontId="31" fillId="12" borderId="33" xfId="0" applyNumberFormat="1" applyFont="1" applyFill="1" applyBorder="1" applyAlignment="1">
      <alignment vertical="top"/>
    </xf>
    <xf numFmtId="174" fontId="31" fillId="12" borderId="3" xfId="0" applyNumberFormat="1" applyFont="1" applyFill="1" applyBorder="1" applyAlignment="1">
      <alignment vertical="top"/>
    </xf>
    <xf numFmtId="169" fontId="27" fillId="12" borderId="40" xfId="1" applyNumberFormat="1" applyFont="1" applyFill="1" applyBorder="1"/>
    <xf numFmtId="169" fontId="27" fillId="12" borderId="41" xfId="1" applyNumberFormat="1" applyFont="1" applyFill="1" applyBorder="1"/>
    <xf numFmtId="174" fontId="27" fillId="12" borderId="28" xfId="0" applyNumberFormat="1" applyFont="1" applyFill="1" applyBorder="1"/>
    <xf numFmtId="174" fontId="27" fillId="12" borderId="0" xfId="0" applyNumberFormat="1" applyFont="1" applyFill="1"/>
    <xf numFmtId="169" fontId="27" fillId="12" borderId="28" xfId="0" applyNumberFormat="1" applyFont="1" applyFill="1" applyBorder="1"/>
    <xf numFmtId="169" fontId="27" fillId="12" borderId="0" xfId="0" applyNumberFormat="1" applyFont="1" applyFill="1"/>
    <xf numFmtId="10" fontId="27" fillId="12" borderId="28" xfId="0" applyNumberFormat="1" applyFont="1" applyFill="1" applyBorder="1"/>
    <xf numFmtId="10" fontId="27" fillId="12" borderId="0" xfId="0" applyNumberFormat="1" applyFont="1" applyFill="1"/>
    <xf numFmtId="174" fontId="27" fillId="12" borderId="13" xfId="0" applyNumberFormat="1" applyFont="1" applyFill="1" applyBorder="1"/>
    <xf numFmtId="174" fontId="27" fillId="12" borderId="4" xfId="0" applyNumberFormat="1" applyFont="1" applyFill="1" applyBorder="1"/>
    <xf numFmtId="0" fontId="6" fillId="11" borderId="0" xfId="0" applyFont="1" applyFill="1" applyAlignment="1">
      <alignment horizontal="center"/>
    </xf>
    <xf numFmtId="0" fontId="27" fillId="14" borderId="4" xfId="0" applyFont="1" applyFill="1" applyBorder="1" applyAlignment="1">
      <alignment horizontal="right" vertical="center"/>
    </xf>
    <xf numFmtId="0" fontId="27" fillId="14" borderId="39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center"/>
    </xf>
    <xf numFmtId="0" fontId="29" fillId="14" borderId="0" xfId="0" applyFont="1" applyFill="1" applyAlignment="1">
      <alignment horizontal="center" vertical="top"/>
    </xf>
    <xf numFmtId="0" fontId="29" fillId="14" borderId="6" xfId="0" applyFont="1" applyFill="1" applyBorder="1" applyAlignment="1">
      <alignment horizontal="center" vertical="top"/>
    </xf>
    <xf numFmtId="0" fontId="29" fillId="14" borderId="4" xfId="0" applyFont="1" applyFill="1" applyBorder="1" applyAlignment="1">
      <alignment horizontal="center"/>
    </xf>
    <xf numFmtId="0" fontId="29" fillId="14" borderId="0" xfId="0" applyFont="1" applyFill="1" applyAlignment="1">
      <alignment horizontal="center"/>
    </xf>
    <xf numFmtId="10" fontId="13" fillId="16" borderId="46" xfId="1" applyNumberFormat="1" applyFont="1" applyFill="1" applyBorder="1" applyAlignment="1">
      <alignment horizontal="center" vertical="center"/>
    </xf>
    <xf numFmtId="10" fontId="13" fillId="16" borderId="7" xfId="1" applyNumberFormat="1" applyFont="1" applyFill="1" applyBorder="1" applyAlignment="1">
      <alignment horizontal="center" vertical="center"/>
    </xf>
    <xf numFmtId="10" fontId="31" fillId="12" borderId="3" xfId="1" applyNumberFormat="1" applyFont="1" applyFill="1" applyBorder="1" applyAlignment="1">
      <alignment horizontal="center" vertical="center"/>
    </xf>
    <xf numFmtId="10" fontId="31" fillId="12" borderId="6" xfId="1" applyNumberFormat="1" applyFont="1" applyFill="1" applyBorder="1" applyAlignment="1">
      <alignment horizontal="center" vertical="center"/>
    </xf>
    <xf numFmtId="10" fontId="31" fillId="12" borderId="11" xfId="1" applyNumberFormat="1" applyFont="1" applyFill="1" applyBorder="1" applyAlignment="1">
      <alignment horizontal="center" vertical="center"/>
    </xf>
    <xf numFmtId="10" fontId="31" fillId="12" borderId="47" xfId="1" applyNumberFormat="1" applyFont="1" applyFill="1" applyBorder="1" applyAlignment="1">
      <alignment horizontal="center" vertical="center"/>
    </xf>
    <xf numFmtId="0" fontId="35" fillId="12" borderId="33" xfId="0" applyFont="1" applyFill="1" applyBorder="1" applyAlignment="1">
      <alignment horizontal="center" vertical="top" wrapText="1"/>
    </xf>
    <xf numFmtId="0" fontId="35" fillId="12" borderId="45" xfId="0" applyFont="1" applyFill="1" applyBorder="1" applyAlignment="1">
      <alignment horizontal="center" vertical="top" wrapText="1"/>
    </xf>
    <xf numFmtId="0" fontId="35" fillId="12" borderId="5" xfId="0" applyFont="1" applyFill="1" applyBorder="1" applyAlignment="1">
      <alignment horizontal="center" vertical="top" wrapText="1"/>
    </xf>
    <xf numFmtId="0" fontId="35" fillId="12" borderId="7" xfId="0" applyFont="1" applyFill="1" applyBorder="1" applyAlignment="1">
      <alignment horizontal="center" vertical="top" wrapText="1"/>
    </xf>
    <xf numFmtId="0" fontId="56" fillId="22" borderId="4" xfId="7" applyFont="1" applyFill="1" applyBorder="1" applyAlignment="1">
      <alignment horizontal="center"/>
    </xf>
    <xf numFmtId="0" fontId="56" fillId="22" borderId="0" xfId="7" applyFont="1" applyFill="1" applyAlignment="1">
      <alignment horizontal="center"/>
    </xf>
    <xf numFmtId="0" fontId="57" fillId="22" borderId="0" xfId="7" applyFont="1" applyFill="1" applyAlignment="1">
      <alignment horizontal="center" vertical="top"/>
    </xf>
    <xf numFmtId="0" fontId="57" fillId="22" borderId="6" xfId="7" applyFont="1" applyFill="1" applyBorder="1" applyAlignment="1">
      <alignment horizontal="center" vertical="top"/>
    </xf>
    <xf numFmtId="0" fontId="49" fillId="24" borderId="16" xfId="7" applyFont="1" applyFill="1" applyBorder="1" applyAlignment="1">
      <alignment horizontal="center"/>
    </xf>
    <xf numFmtId="0" fontId="49" fillId="24" borderId="20" xfId="7" applyFont="1" applyFill="1" applyBorder="1" applyAlignment="1">
      <alignment horizontal="center"/>
    </xf>
    <xf numFmtId="0" fontId="49" fillId="24" borderId="8" xfId="7" applyFont="1" applyFill="1" applyBorder="1" applyAlignment="1">
      <alignment horizontal="center" vertical="center" wrapText="1"/>
    </xf>
    <xf numFmtId="0" fontId="49" fillId="24" borderId="9" xfId="7" applyFont="1" applyFill="1" applyBorder="1" applyAlignment="1">
      <alignment horizontal="center" vertical="center" wrapText="1"/>
    </xf>
    <xf numFmtId="0" fontId="49" fillId="24" borderId="47" xfId="7" applyFont="1" applyFill="1" applyBorder="1" applyAlignment="1">
      <alignment horizontal="center" vertical="center" wrapText="1"/>
    </xf>
    <xf numFmtId="0" fontId="49" fillId="24" borderId="36" xfId="7" applyFont="1" applyFill="1" applyBorder="1" applyAlignment="1">
      <alignment horizontal="center" vertical="center" wrapText="1"/>
    </xf>
    <xf numFmtId="0" fontId="49" fillId="24" borderId="2" xfId="7" applyFont="1" applyFill="1" applyBorder="1" applyAlignment="1">
      <alignment horizontal="center" vertical="center" wrapText="1"/>
    </xf>
    <xf numFmtId="0" fontId="49" fillId="24" borderId="48" xfId="7" applyFont="1" applyFill="1" applyBorder="1" applyAlignment="1">
      <alignment horizontal="center" vertical="center" wrapText="1"/>
    </xf>
    <xf numFmtId="0" fontId="49" fillId="24" borderId="36" xfId="7" applyFont="1" applyFill="1" applyBorder="1" applyAlignment="1">
      <alignment horizontal="center" vertical="center"/>
    </xf>
    <xf numFmtId="0" fontId="49" fillId="24" borderId="2" xfId="7" applyFont="1" applyFill="1" applyBorder="1" applyAlignment="1">
      <alignment horizontal="center" vertical="center"/>
    </xf>
    <xf numFmtId="0" fontId="49" fillId="24" borderId="37" xfId="7" applyFont="1" applyFill="1" applyBorder="1" applyAlignment="1">
      <alignment horizontal="center" vertical="center" wrapText="1"/>
    </xf>
    <xf numFmtId="0" fontId="49" fillId="24" borderId="10" xfId="7" applyFont="1" applyFill="1" applyBorder="1" applyAlignment="1">
      <alignment horizontal="center" vertical="center" wrapText="1"/>
    </xf>
    <xf numFmtId="0" fontId="49" fillId="24" borderId="15" xfId="7" applyFont="1" applyFill="1" applyBorder="1" applyAlignment="1">
      <alignment horizontal="center"/>
    </xf>
    <xf numFmtId="169" fontId="11" fillId="18" borderId="13" xfId="1" applyNumberFormat="1" applyFont="1" applyFill="1" applyBorder="1" applyAlignment="1">
      <alignment horizontal="center" vertical="center"/>
    </xf>
    <xf numFmtId="169" fontId="11" fillId="18" borderId="4" xfId="1" applyNumberFormat="1" applyFont="1" applyFill="1" applyBorder="1" applyAlignment="1">
      <alignment horizontal="center" vertical="center"/>
    </xf>
    <xf numFmtId="169" fontId="11" fillId="18" borderId="14" xfId="1" applyNumberFormat="1" applyFont="1" applyFill="1" applyBorder="1" applyAlignment="1">
      <alignment horizontal="center" vertical="center"/>
    </xf>
    <xf numFmtId="169" fontId="11" fillId="12" borderId="5" xfId="1" applyNumberFormat="1" applyFont="1" applyFill="1" applyBorder="1" applyAlignment="1">
      <alignment horizontal="center" vertical="center"/>
    </xf>
    <xf numFmtId="169" fontId="11" fillId="12" borderId="6" xfId="1" applyNumberFormat="1" applyFont="1" applyFill="1" applyBorder="1" applyAlignment="1">
      <alignment horizontal="center" vertical="center"/>
    </xf>
    <xf numFmtId="169" fontId="11" fillId="12" borderId="7" xfId="1" applyNumberFormat="1" applyFont="1" applyFill="1" applyBorder="1" applyAlignment="1">
      <alignment horizontal="center" vertical="center"/>
    </xf>
    <xf numFmtId="169" fontId="6" fillId="12" borderId="13" xfId="1" applyNumberFormat="1" applyFont="1" applyFill="1" applyBorder="1" applyAlignment="1">
      <alignment horizontal="center" vertical="center"/>
    </xf>
    <xf numFmtId="169" fontId="6" fillId="12" borderId="4" xfId="1" applyNumberFormat="1" applyFont="1" applyFill="1" applyBorder="1" applyAlignment="1">
      <alignment horizontal="center" vertical="center"/>
    </xf>
    <xf numFmtId="169" fontId="6" fillId="12" borderId="14" xfId="1" applyNumberFormat="1" applyFont="1" applyFill="1" applyBorder="1" applyAlignment="1">
      <alignment horizontal="center" vertical="center"/>
    </xf>
    <xf numFmtId="169" fontId="6" fillId="18" borderId="5" xfId="1" applyNumberFormat="1" applyFont="1" applyFill="1" applyBorder="1" applyAlignment="1">
      <alignment horizontal="center" vertical="center"/>
    </xf>
    <xf numFmtId="169" fontId="6" fillId="18" borderId="6" xfId="1" applyNumberFormat="1" applyFont="1" applyFill="1" applyBorder="1" applyAlignment="1">
      <alignment horizontal="center" vertical="center"/>
    </xf>
    <xf numFmtId="169" fontId="6" fillId="18" borderId="7" xfId="1" applyNumberFormat="1" applyFont="1" applyFill="1" applyBorder="1" applyAlignment="1">
      <alignment horizontal="center" vertical="center"/>
    </xf>
    <xf numFmtId="0" fontId="5" fillId="28" borderId="25" xfId="7" applyFont="1" applyFill="1" applyBorder="1" applyAlignment="1">
      <alignment horizontal="center" vertical="center" textRotation="90"/>
    </xf>
    <xf numFmtId="0" fontId="5" fillId="28" borderId="26" xfId="7" applyFont="1" applyFill="1" applyBorder="1" applyAlignment="1">
      <alignment horizontal="center" vertical="center" textRotation="90"/>
    </xf>
    <xf numFmtId="0" fontId="5" fillId="28" borderId="27" xfId="7" applyFont="1" applyFill="1" applyBorder="1" applyAlignment="1">
      <alignment horizontal="center" vertical="center" textRotation="90"/>
    </xf>
    <xf numFmtId="0" fontId="49" fillId="24" borderId="25" xfId="7" applyFont="1" applyFill="1" applyBorder="1" applyAlignment="1">
      <alignment horizontal="center" vertical="center" textRotation="90"/>
    </xf>
    <xf numFmtId="0" fontId="49" fillId="24" borderId="26" xfId="7" applyFont="1" applyFill="1" applyBorder="1" applyAlignment="1">
      <alignment horizontal="center" vertical="center" textRotation="90"/>
    </xf>
    <xf numFmtId="0" fontId="49" fillId="24" borderId="27" xfId="7" applyFont="1" applyFill="1" applyBorder="1" applyAlignment="1">
      <alignment horizontal="center" vertical="center" textRotation="90"/>
    </xf>
    <xf numFmtId="0" fontId="76" fillId="30" borderId="93" xfId="0" applyFont="1" applyFill="1" applyBorder="1" applyAlignment="1">
      <alignment horizontal="center" vertical="center" wrapText="1"/>
    </xf>
    <xf numFmtId="0" fontId="76" fillId="30" borderId="94" xfId="0" applyFont="1" applyFill="1" applyBorder="1" applyAlignment="1">
      <alignment horizontal="center" vertical="center" wrapText="1"/>
    </xf>
    <xf numFmtId="0" fontId="23" fillId="20" borderId="84" xfId="0" applyFont="1" applyFill="1" applyBorder="1" applyAlignment="1">
      <alignment horizontal="center"/>
    </xf>
    <xf numFmtId="0" fontId="23" fillId="20" borderId="0" xfId="0" applyFont="1" applyFill="1" applyAlignment="1">
      <alignment horizontal="center"/>
    </xf>
    <xf numFmtId="0" fontId="27" fillId="12" borderId="66" xfId="0" applyFont="1" applyFill="1" applyBorder="1" applyAlignment="1">
      <alignment horizontal="left"/>
    </xf>
    <xf numFmtId="0" fontId="27" fillId="12" borderId="0" xfId="0" applyFont="1" applyFill="1" applyAlignment="1">
      <alignment horizontal="left"/>
    </xf>
    <xf numFmtId="0" fontId="82" fillId="31" borderId="51" xfId="0" applyFont="1" applyFill="1" applyBorder="1" applyAlignment="1">
      <alignment horizontal="left" vertical="center"/>
    </xf>
    <xf numFmtId="0" fontId="82" fillId="31" borderId="52" xfId="0" applyFont="1" applyFill="1" applyBorder="1" applyAlignment="1">
      <alignment horizontal="left" vertical="center"/>
    </xf>
    <xf numFmtId="0" fontId="81" fillId="12" borderId="66" xfId="0" applyFont="1" applyFill="1" applyBorder="1" applyAlignment="1">
      <alignment horizontal="left"/>
    </xf>
    <xf numFmtId="0" fontId="81" fillId="12" borderId="0" xfId="0" applyFont="1" applyFill="1" applyAlignment="1">
      <alignment horizontal="left"/>
    </xf>
    <xf numFmtId="0" fontId="76" fillId="30" borderId="55" xfId="0" applyFont="1" applyFill="1" applyBorder="1" applyAlignment="1">
      <alignment horizontal="left" vertical="center"/>
    </xf>
    <xf numFmtId="0" fontId="76" fillId="30" borderId="56" xfId="0" applyFont="1" applyFill="1" applyBorder="1" applyAlignment="1">
      <alignment horizontal="left" vertical="center"/>
    </xf>
    <xf numFmtId="0" fontId="23" fillId="20" borderId="0" xfId="0" applyFont="1" applyFill="1" applyAlignment="1">
      <alignment horizontal="center" vertical="top"/>
    </xf>
    <xf numFmtId="0" fontId="23" fillId="20" borderId="89" xfId="0" applyFont="1" applyFill="1" applyBorder="1" applyAlignment="1">
      <alignment horizontal="center" vertical="top"/>
    </xf>
    <xf numFmtId="164" fontId="81" fillId="31" borderId="53" xfId="9" applyFont="1" applyFill="1" applyBorder="1" applyAlignment="1">
      <alignment horizontal="center"/>
    </xf>
    <xf numFmtId="164" fontId="81" fillId="31" borderId="54" xfId="9" applyFont="1" applyFill="1" applyBorder="1" applyAlignment="1">
      <alignment horizontal="center"/>
    </xf>
    <xf numFmtId="0" fontId="73" fillId="30" borderId="62" xfId="0" applyFont="1" applyFill="1" applyBorder="1" applyAlignment="1">
      <alignment horizontal="center"/>
    </xf>
    <xf numFmtId="0" fontId="73" fillId="30" borderId="61" xfId="0" applyFont="1" applyFill="1" applyBorder="1" applyAlignment="1">
      <alignment horizontal="center"/>
    </xf>
    <xf numFmtId="0" fontId="73" fillId="30" borderId="58" xfId="0" applyFont="1" applyFill="1" applyBorder="1" applyAlignment="1">
      <alignment horizontal="center"/>
    </xf>
    <xf numFmtId="0" fontId="73" fillId="30" borderId="59" xfId="0" applyFont="1" applyFill="1" applyBorder="1" applyAlignment="1">
      <alignment horizontal="center"/>
    </xf>
    <xf numFmtId="0" fontId="73" fillId="30" borderId="60" xfId="0" applyFont="1" applyFill="1" applyBorder="1" applyAlignment="1">
      <alignment horizontal="center"/>
    </xf>
    <xf numFmtId="178" fontId="15" fillId="12" borderId="11" xfId="9" applyNumberFormat="1" applyFont="1" applyFill="1" applyBorder="1"/>
    <xf numFmtId="178" fontId="5" fillId="3" borderId="1" xfId="9" applyNumberFormat="1" applyFont="1" applyFill="1" applyBorder="1"/>
    <xf numFmtId="178" fontId="5" fillId="0" borderId="3" xfId="9" applyNumberFormat="1" applyFont="1" applyBorder="1"/>
    <xf numFmtId="178" fontId="5" fillId="8" borderId="1" xfId="9" applyNumberFormat="1" applyFont="1" applyFill="1" applyBorder="1"/>
    <xf numFmtId="178" fontId="5" fillId="8" borderId="12" xfId="9" applyNumberFormat="1" applyFont="1" applyFill="1" applyBorder="1"/>
    <xf numFmtId="178" fontId="13" fillId="11" borderId="0" xfId="9" applyNumberFormat="1" applyFont="1" applyFill="1"/>
    <xf numFmtId="178" fontId="5" fillId="11" borderId="0" xfId="9" applyNumberFormat="1" applyFont="1" applyFill="1"/>
  </cellXfs>
  <cellStyles count="11">
    <cellStyle name="Comma" xfId="10" builtinId="3"/>
    <cellStyle name="Comma 2" xfId="5" xr:uid="{B8E61BD5-0292-42B7-A393-FCDE5B286492}"/>
    <cellStyle name="Currency" xfId="9" builtinId="4"/>
    <cellStyle name="Currency 2" xfId="2" xr:uid="{6DA9A40A-AFB8-43BB-8B44-43DC2239F60F}"/>
    <cellStyle name="Currency 2 2" xfId="6" xr:uid="{9E45C1E7-6AAB-4E4A-8AB8-BFDB5C3506AB}"/>
    <cellStyle name="Normal" xfId="0" builtinId="0" customBuiltin="1"/>
    <cellStyle name="Normal 2" xfId="3" xr:uid="{7A945DEA-046F-4D78-9F06-83A8CE67F0EF}"/>
    <cellStyle name="Normal 3" xfId="7" xr:uid="{AC882039-A4C9-45E0-9DEA-2B4DD07905C2}"/>
    <cellStyle name="Percent" xfId="1" builtinId="5"/>
    <cellStyle name="Percent 2" xfId="4" xr:uid="{505F27A2-4EDF-4464-AD7E-53494C6BC381}"/>
    <cellStyle name="Percent 3" xfId="8" xr:uid="{B76B0041-EF6D-4535-AB56-CBAC6D9F967C}"/>
  </cellStyles>
  <dxfs count="25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ont>
        <color theme="9" tint="0.39994506668294322"/>
      </font>
      <fill>
        <patternFill>
          <bgColor rgb="FF1B5659"/>
        </patternFill>
      </fill>
    </dxf>
    <dxf>
      <numFmt numFmtId="13" formatCode="0%"/>
    </dxf>
    <dxf>
      <numFmt numFmtId="13" formatCode="0%"/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1CDEF"/>
        </patternFill>
      </fill>
    </dxf>
    <dxf>
      <fill>
        <patternFill>
          <bgColor rgb="FFECDFF5"/>
        </patternFill>
      </fill>
    </dxf>
    <dxf>
      <fill>
        <patternFill>
          <bgColor rgb="FFECDFF5"/>
        </patternFill>
      </fill>
    </dxf>
    <dxf>
      <fill>
        <patternFill>
          <bgColor rgb="FFECDFF5"/>
        </patternFill>
      </fill>
    </dxf>
    <dxf>
      <font>
        <strike val="0"/>
        <color theme="0"/>
      </font>
      <fill>
        <patternFill>
          <bgColor rgb="FF8238BA"/>
        </patternFill>
      </fill>
    </dxf>
    <dxf>
      <fill>
        <patternFill>
          <bgColor rgb="FFECDFF5"/>
        </patternFill>
      </fill>
    </dxf>
  </dxfs>
  <tableStyles count="0" defaultTableStyle="TableStyleMedium2" defaultPivotStyle="PivotStyleLight16"/>
  <colors>
    <mruColors>
      <color rgb="FF257F76"/>
      <color rgb="FF3A5C0C"/>
      <color rgb="FFBDF078"/>
      <color rgb="FF1E3006"/>
      <color rgb="FF1EFFFF"/>
      <color rgb="FFD6F6AC"/>
      <color rgb="FF04273E"/>
      <color rgb="FF172505"/>
      <color rgb="FFFFA401"/>
      <color rgb="FFF78D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60688</xdr:colOff>
      <xdr:row>1</xdr:row>
      <xdr:rowOff>318</xdr:rowOff>
    </xdr:from>
    <xdr:to>
      <xdr:col>1</xdr:col>
      <xdr:colOff>473438</xdr:colOff>
      <xdr:row>2</xdr:row>
      <xdr:rowOff>190818</xdr:rowOff>
    </xdr:to>
    <xdr:pic macro="[0]!Sheet1.PnL_Reset">
      <xdr:nvPicPr>
        <xdr:cNvPr id="7" name="Graphic 6" descr="Garbage with solid fill">
          <a:extLst>
            <a:ext uri="{FF2B5EF4-FFF2-40B4-BE49-F238E27FC236}">
              <a16:creationId xmlns:a16="http://schemas.microsoft.com/office/drawing/2014/main" id="{3432A07E-EDD2-3F79-4F02-B9D01A4D8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5508" y="76518"/>
          <a:ext cx="412750" cy="4114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1</xdr:row>
      <xdr:rowOff>91440</xdr:rowOff>
    </xdr:from>
    <xdr:to>
      <xdr:col>1</xdr:col>
      <xdr:colOff>557530</xdr:colOff>
      <xdr:row>4</xdr:row>
      <xdr:rowOff>22860</xdr:rowOff>
    </xdr:to>
    <xdr:pic macro="[0]!Sheet2.DCF_Reset">
      <xdr:nvPicPr>
        <xdr:cNvPr id="3" name="Graphic 6" descr="Garbage with solid fill">
          <a:extLst>
            <a:ext uri="{FF2B5EF4-FFF2-40B4-BE49-F238E27FC236}">
              <a16:creationId xmlns:a16="http://schemas.microsoft.com/office/drawing/2014/main" id="{8F6C62F7-F6D5-4DA8-8BB1-C538ED00E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6240" y="175260"/>
          <a:ext cx="412750" cy="411480"/>
        </a:xfrm>
        <a:prstGeom prst="rect">
          <a:avLst/>
        </a:prstGeom>
      </xdr:spPr>
    </xdr:pic>
    <xdr:clientData/>
  </xdr:twoCellAnchor>
  <xdr:twoCellAnchor editAs="oneCell">
    <xdr:from>
      <xdr:col>12</xdr:col>
      <xdr:colOff>759069</xdr:colOff>
      <xdr:row>36</xdr:row>
      <xdr:rowOff>158949</xdr:rowOff>
    </xdr:from>
    <xdr:to>
      <xdr:col>13</xdr:col>
      <xdr:colOff>167313</xdr:colOff>
      <xdr:row>38</xdr:row>
      <xdr:rowOff>77733</xdr:rowOff>
    </xdr:to>
    <xdr:pic macro="[0]!Sheet2.DCF_Plug_Bloom_WACCvalues">
      <xdr:nvPicPr>
        <xdr:cNvPr id="4" name="Graphic 3" descr="Arrow: Rotate right with solid fill">
          <a:extLst>
            <a:ext uri="{FF2B5EF4-FFF2-40B4-BE49-F238E27FC236}">
              <a16:creationId xmlns:a16="http://schemas.microsoft.com/office/drawing/2014/main" id="{41E8EBB5-2172-12B6-F313-9FF8A7DEB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9107184">
          <a:off x="11411829" y="6712149"/>
          <a:ext cx="307404" cy="307404"/>
        </a:xfrm>
        <a:prstGeom prst="rect">
          <a:avLst/>
        </a:prstGeom>
      </xdr:spPr>
    </xdr:pic>
    <xdr:clientData/>
  </xdr:twoCellAnchor>
  <xdr:twoCellAnchor editAs="oneCell">
    <xdr:from>
      <xdr:col>6</xdr:col>
      <xdr:colOff>682182</xdr:colOff>
      <xdr:row>24</xdr:row>
      <xdr:rowOff>162545</xdr:rowOff>
    </xdr:from>
    <xdr:to>
      <xdr:col>7</xdr:col>
      <xdr:colOff>118728</xdr:colOff>
      <xdr:row>26</xdr:row>
      <xdr:rowOff>48671</xdr:rowOff>
    </xdr:to>
    <xdr:pic macro="[0]!Sheet2.DCF_Plug_Bloom_ShrPX">
      <xdr:nvPicPr>
        <xdr:cNvPr id="11" name="Graphic 10" descr="Arrow: Rotate left with solid fill">
          <a:extLst>
            <a:ext uri="{FF2B5EF4-FFF2-40B4-BE49-F238E27FC236}">
              <a16:creationId xmlns:a16="http://schemas.microsoft.com/office/drawing/2014/main" id="{BDC071EE-003E-0D45-61BF-29079B549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637707">
          <a:off x="6260022" y="4353545"/>
          <a:ext cx="282366" cy="282366"/>
        </a:xfrm>
        <a:prstGeom prst="rect">
          <a:avLst/>
        </a:prstGeom>
      </xdr:spPr>
    </xdr:pic>
    <xdr:clientData/>
  </xdr:twoCellAnchor>
  <xdr:twoCellAnchor editAs="oneCell">
    <xdr:from>
      <xdr:col>1</xdr:col>
      <xdr:colOff>1043940</xdr:colOff>
      <xdr:row>1</xdr:row>
      <xdr:rowOff>45720</xdr:rowOff>
    </xdr:from>
    <xdr:to>
      <xdr:col>1</xdr:col>
      <xdr:colOff>1595612</xdr:colOff>
      <xdr:row>4</xdr:row>
      <xdr:rowOff>91192</xdr:rowOff>
    </xdr:to>
    <xdr:pic macro="[0]!Sheet2.DCF_Save_Bloom_Values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87B8AFED-9735-4FE8-A091-379BBBEE2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95400" y="129540"/>
          <a:ext cx="551672" cy="5255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281940</xdr:colOff>
      <xdr:row>1</xdr:row>
      <xdr:rowOff>53340</xdr:rowOff>
    </xdr:from>
    <xdr:to>
      <xdr:col>2</xdr:col>
      <xdr:colOff>696686</xdr:colOff>
      <xdr:row>4</xdr:row>
      <xdr:rowOff>30149</xdr:rowOff>
    </xdr:to>
    <xdr:pic macro="[0]!Sheet3.RV_Reset">
      <xdr:nvPicPr>
        <xdr:cNvPr id="10" name="Graphic 9" descr="Garbage with solid fill">
          <a:extLst>
            <a:ext uri="{FF2B5EF4-FFF2-40B4-BE49-F238E27FC236}">
              <a16:creationId xmlns:a16="http://schemas.microsoft.com/office/drawing/2014/main" id="{75E7DA27-D817-4969-8B2D-6B28CADB2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6260" y="190500"/>
          <a:ext cx="414746" cy="395909"/>
        </a:xfrm>
        <a:prstGeom prst="rect">
          <a:avLst/>
        </a:prstGeom>
      </xdr:spPr>
    </xdr:pic>
    <xdr:clientData/>
  </xdr:twoCellAnchor>
  <xdr:twoCellAnchor editAs="oneCell">
    <xdr:from>
      <xdr:col>3</xdr:col>
      <xdr:colOff>220980</xdr:colOff>
      <xdr:row>1</xdr:row>
      <xdr:rowOff>24765</xdr:rowOff>
    </xdr:from>
    <xdr:to>
      <xdr:col>3</xdr:col>
      <xdr:colOff>708660</xdr:colOff>
      <xdr:row>4</xdr:row>
      <xdr:rowOff>70237</xdr:rowOff>
    </xdr:to>
    <xdr:pic macro="[0]!Sheet3.RV_Save_BLOOM_Data">
      <xdr:nvPicPr>
        <xdr:cNvPr id="12" name="Graphic 11" descr="Download with solid fill">
          <a:extLst>
            <a:ext uri="{FF2B5EF4-FFF2-40B4-BE49-F238E27FC236}">
              <a16:creationId xmlns:a16="http://schemas.microsoft.com/office/drawing/2014/main" id="{AEA878B9-A34B-1117-D65C-3D0FE4F68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85900" y="161925"/>
          <a:ext cx="487680" cy="464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03F8-85CF-4B98-921D-16E2D1BEDF96}">
  <sheetPr codeName="Sheet1">
    <tabColor rgb="FFA781D9"/>
  </sheetPr>
  <dimension ref="A1:R45"/>
  <sheetViews>
    <sheetView showGridLines="0" tabSelected="1" zoomScale="125" zoomScaleNormal="125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1" width="7" style="31" customWidth="1"/>
    <col min="2" max="2" width="38.85546875" style="42" customWidth="1"/>
    <col min="3" max="3" width="9.5703125" style="1" customWidth="1"/>
    <col min="4" max="4" width="10.5703125" style="1" customWidth="1"/>
    <col min="5" max="5" width="9.5703125" style="1" customWidth="1"/>
    <col min="6" max="6" width="9.7109375" customWidth="1"/>
    <col min="7" max="9" width="10.5703125" customWidth="1"/>
    <col min="10" max="10" width="10.5703125" style="1" customWidth="1"/>
    <col min="11" max="14" width="10.5703125" customWidth="1"/>
    <col min="15" max="15" width="10.5703125" style="8" customWidth="1"/>
    <col min="16" max="16" width="10.140625" style="8" customWidth="1"/>
    <col min="17" max="17" width="10.140625" style="20" customWidth="1"/>
    <col min="18" max="18" width="9.140625" style="38" customWidth="1"/>
    <col min="19" max="16384" width="9.140625" style="31" hidden="1"/>
  </cols>
  <sheetData>
    <row r="1" spans="2:18" ht="6" customHeight="1" thickBot="1" x14ac:dyDescent="0.3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2:18" ht="17.25" customHeight="1" x14ac:dyDescent="0.3">
      <c r="B2" s="426" t="s">
        <v>90</v>
      </c>
      <c r="C2" s="133"/>
      <c r="D2" s="133"/>
      <c r="E2" s="133"/>
      <c r="F2" s="133"/>
      <c r="G2" s="133"/>
      <c r="H2" s="132" t="s">
        <v>22</v>
      </c>
      <c r="I2" s="133"/>
      <c r="J2" s="133"/>
      <c r="K2" s="133"/>
      <c r="L2" s="133"/>
      <c r="M2" s="133"/>
      <c r="N2" s="133"/>
      <c r="O2" s="133"/>
      <c r="P2" s="133"/>
      <c r="Q2" s="134"/>
      <c r="R2" s="137"/>
    </row>
    <row r="3" spans="2:18" ht="17.25" customHeight="1" thickBot="1" x14ac:dyDescent="0.35">
      <c r="B3" s="427"/>
      <c r="C3" s="135"/>
      <c r="D3" s="135"/>
      <c r="E3" s="135"/>
      <c r="F3" s="135"/>
      <c r="G3" s="135"/>
      <c r="H3" s="131" t="s">
        <v>154</v>
      </c>
      <c r="I3" s="135"/>
      <c r="J3" s="135"/>
      <c r="K3" s="135"/>
      <c r="L3" s="135"/>
      <c r="M3" s="135"/>
      <c r="N3" s="135"/>
      <c r="O3" s="135"/>
      <c r="P3" s="135"/>
      <c r="Q3" s="136"/>
      <c r="R3" s="137"/>
    </row>
    <row r="4" spans="2:18" ht="6" customHeight="1" thickBot="1" x14ac:dyDescent="0.35"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</row>
    <row r="5" spans="2:18" ht="15.75" thickBot="1" x14ac:dyDescent="0.3">
      <c r="B5" s="31"/>
      <c r="C5" s="72">
        <f ca="1">YEAR(TODAY())-4</f>
        <v>2021</v>
      </c>
      <c r="D5" s="71">
        <f ca="1">YEAR(TODAY())-3</f>
        <v>2022</v>
      </c>
      <c r="E5" s="73">
        <f ca="1">YEAR(TODAY())-2</f>
        <v>2023</v>
      </c>
      <c r="F5" s="26" t="str">
        <f ca="1">"1Q"&amp;RIGHT(YEAR(TODAY())-1,2)</f>
        <v>1Q24</v>
      </c>
      <c r="G5" s="27" t="str">
        <f ca="1">"2Q"&amp;RIGHT(YEAR(TODAY())-1,2)</f>
        <v>2Q24</v>
      </c>
      <c r="H5" s="27" t="str">
        <f ca="1">"3Q"&amp;RIGHT(YEAR(TODAY())-1,2)</f>
        <v>3Q24</v>
      </c>
      <c r="I5" s="28" t="str">
        <f ca="1">"4Q"&amp;RIGHT(YEAR(TODAY())-1,2)</f>
        <v>4Q24</v>
      </c>
      <c r="J5" s="71">
        <f ca="1">YEAR(TODAY())-1</f>
        <v>2024</v>
      </c>
      <c r="K5" s="27" t="str">
        <f ca="1">IF(MONTH(TODAY())/3&gt;1,"1Q"&amp;RIGHT(YEAR(TODAY()),2),"1Q"&amp;RIGHT(YEAR(TODAY()),2)&amp;"E")</f>
        <v>1Q25E</v>
      </c>
      <c r="L5" s="27" t="str">
        <f ca="1">IF(MONTH(TODAY())/3&gt;2,"2Q"&amp;RIGHT(YEAR(TODAY()),2),"2Q"&amp;RIGHT(YEAR(TODAY()),2)&amp;"E")</f>
        <v>2Q25E</v>
      </c>
      <c r="M5" s="27" t="str">
        <f ca="1">IF(MONTH(TODAY())/3&gt;3,"3Q"&amp;RIGHT(YEAR(TODAY()),2),"3Q"&amp;RIGHT(YEAR(TODAY()),2)&amp;"E")</f>
        <v>3Q25E</v>
      </c>
      <c r="N5" s="27" t="str">
        <f ca="1">IF(MONTH(TODAY())/3&gt;4,"4Q"&amp;RIGHT(YEAR(TODAY()),2),"4Q"&amp;RIGHT(YEAR(TODAY()),2)&amp;"E")</f>
        <v>4Q25E</v>
      </c>
      <c r="O5" s="29" t="str">
        <f ca="1">YEAR(TODAY())&amp;"E"</f>
        <v>2025E</v>
      </c>
      <c r="P5" s="29" t="str">
        <f ca="1">YEAR(TODAY())+1&amp;"E"</f>
        <v>2026E</v>
      </c>
      <c r="Q5" s="30" t="str">
        <f ca="1">YEAR(TODAY())+2&amp;"E"</f>
        <v>2027E</v>
      </c>
    </row>
    <row r="6" spans="2:18" s="346" customFormat="1" x14ac:dyDescent="0.25">
      <c r="B6" s="338" t="s">
        <v>1</v>
      </c>
      <c r="C6" s="339"/>
      <c r="D6" s="339"/>
      <c r="E6" s="339"/>
      <c r="F6" s="340"/>
      <c r="G6" s="340"/>
      <c r="H6" s="340"/>
      <c r="I6" s="340"/>
      <c r="J6" s="341">
        <f>SUM(F6:I6)</f>
        <v>0</v>
      </c>
      <c r="K6" s="340"/>
      <c r="L6" s="340"/>
      <c r="M6" s="340"/>
      <c r="N6" s="340"/>
      <c r="O6" s="342">
        <f>SUM(K6:N6)</f>
        <v>0</v>
      </c>
      <c r="P6" s="343"/>
      <c r="Q6" s="344"/>
      <c r="R6" s="345"/>
    </row>
    <row r="7" spans="2:18" s="33" customFormat="1" x14ac:dyDescent="0.25">
      <c r="B7" s="47" t="s">
        <v>0</v>
      </c>
      <c r="C7" s="11"/>
      <c r="D7" s="11" t="e">
        <f>D6/C6-1</f>
        <v>#DIV/0!</v>
      </c>
      <c r="E7" s="11" t="e">
        <f>E6/D6-1</f>
        <v>#DIV/0!</v>
      </c>
      <c r="F7" s="13"/>
      <c r="G7" s="13"/>
      <c r="H7" s="13"/>
      <c r="I7" s="13"/>
      <c r="J7" s="11" t="e">
        <f t="shared" ref="J7:O7" si="0">J6/E6-1</f>
        <v>#DIV/0!</v>
      </c>
      <c r="K7" s="14" t="e">
        <f t="shared" si="0"/>
        <v>#DIV/0!</v>
      </c>
      <c r="L7" s="14" t="e">
        <f t="shared" si="0"/>
        <v>#DIV/0!</v>
      </c>
      <c r="M7" s="14" t="e">
        <f t="shared" si="0"/>
        <v>#DIV/0!</v>
      </c>
      <c r="N7" s="14" t="e">
        <f t="shared" si="0"/>
        <v>#DIV/0!</v>
      </c>
      <c r="O7" s="12" t="e">
        <f t="shared" si="0"/>
        <v>#DIV/0!</v>
      </c>
      <c r="P7" s="12" t="e">
        <f>P6/O6-1</f>
        <v>#DIV/0!</v>
      </c>
      <c r="Q7" s="15" t="e">
        <f>Q6/P6-1</f>
        <v>#DIV/0!</v>
      </c>
      <c r="R7" s="38"/>
    </row>
    <row r="8" spans="2:18" x14ac:dyDescent="0.25">
      <c r="O8" s="10"/>
      <c r="P8" s="10"/>
      <c r="Q8" s="16"/>
      <c r="R8" s="40" t="s">
        <v>26</v>
      </c>
    </row>
    <row r="9" spans="2:18" s="35" customFormat="1" x14ac:dyDescent="0.25">
      <c r="B9" s="42"/>
      <c r="C9" s="6"/>
      <c r="D9" s="6"/>
      <c r="E9" s="6"/>
      <c r="F9" s="17"/>
      <c r="G9" s="17"/>
      <c r="H9" s="17"/>
      <c r="I9" s="17"/>
      <c r="J9" s="6"/>
      <c r="K9" s="18"/>
      <c r="L9" s="18"/>
      <c r="M9" s="18"/>
      <c r="N9" s="18"/>
      <c r="O9" s="7"/>
      <c r="P9" s="7"/>
      <c r="Q9" s="19"/>
      <c r="R9" s="38"/>
    </row>
    <row r="10" spans="2:18" s="337" customFormat="1" x14ac:dyDescent="0.25">
      <c r="B10" s="329" t="s">
        <v>2</v>
      </c>
      <c r="C10" s="330"/>
      <c r="D10" s="330"/>
      <c r="E10" s="330"/>
      <c r="F10" s="331"/>
      <c r="G10" s="331"/>
      <c r="H10" s="331"/>
      <c r="I10" s="331"/>
      <c r="J10" s="332">
        <f>SUM(F10:I10)</f>
        <v>0</v>
      </c>
      <c r="K10" s="331"/>
      <c r="L10" s="331"/>
      <c r="M10" s="331"/>
      <c r="N10" s="331"/>
      <c r="O10" s="333">
        <f>SUM(K10:N10)</f>
        <v>0</v>
      </c>
      <c r="P10" s="334"/>
      <c r="Q10" s="335"/>
      <c r="R10" s="336"/>
    </row>
    <row r="11" spans="2:18" s="540" customFormat="1" x14ac:dyDescent="0.25">
      <c r="B11" s="534" t="s">
        <v>3</v>
      </c>
      <c r="C11" s="535">
        <f t="shared" ref="C11:Q11" si="1">C6-C10</f>
        <v>0</v>
      </c>
      <c r="D11" s="535">
        <f t="shared" si="1"/>
        <v>0</v>
      </c>
      <c r="E11" s="535">
        <f t="shared" si="1"/>
        <v>0</v>
      </c>
      <c r="F11" s="536">
        <f t="shared" si="1"/>
        <v>0</v>
      </c>
      <c r="G11" s="536">
        <f t="shared" si="1"/>
        <v>0</v>
      </c>
      <c r="H11" s="536">
        <f t="shared" si="1"/>
        <v>0</v>
      </c>
      <c r="I11" s="536">
        <f t="shared" si="1"/>
        <v>0</v>
      </c>
      <c r="J11" s="535">
        <f t="shared" si="1"/>
        <v>0</v>
      </c>
      <c r="K11" s="536">
        <f t="shared" si="1"/>
        <v>0</v>
      </c>
      <c r="L11" s="536">
        <f t="shared" si="1"/>
        <v>0</v>
      </c>
      <c r="M11" s="536">
        <f t="shared" si="1"/>
        <v>0</v>
      </c>
      <c r="N11" s="536">
        <f t="shared" si="1"/>
        <v>0</v>
      </c>
      <c r="O11" s="537">
        <f t="shared" si="1"/>
        <v>0</v>
      </c>
      <c r="P11" s="537">
        <f t="shared" si="1"/>
        <v>0</v>
      </c>
      <c r="Q11" s="538">
        <f t="shared" si="1"/>
        <v>0</v>
      </c>
      <c r="R11" s="539"/>
    </row>
    <row r="12" spans="2:18" s="34" customFormat="1" x14ac:dyDescent="0.25">
      <c r="B12" s="43"/>
      <c r="C12" s="4"/>
      <c r="D12" s="4"/>
      <c r="E12" s="4"/>
      <c r="F12" s="5"/>
      <c r="G12" s="5"/>
      <c r="H12" s="5"/>
      <c r="I12" s="5"/>
      <c r="J12" s="4"/>
      <c r="K12" s="5"/>
      <c r="L12" s="5"/>
      <c r="M12" s="5"/>
      <c r="N12" s="5"/>
      <c r="O12" s="10"/>
      <c r="P12" s="10"/>
      <c r="Q12" s="16"/>
      <c r="R12" s="40" t="s">
        <v>26</v>
      </c>
    </row>
    <row r="13" spans="2:18" s="34" customFormat="1" x14ac:dyDescent="0.25">
      <c r="B13" s="46" t="s">
        <v>21</v>
      </c>
      <c r="C13" s="48" t="e">
        <f>C11/C6</f>
        <v>#DIV/0!</v>
      </c>
      <c r="D13" s="48" t="e">
        <f t="shared" ref="D13:Q13" si="2">D11/D6</f>
        <v>#DIV/0!</v>
      </c>
      <c r="E13" s="48" t="e">
        <f t="shared" si="2"/>
        <v>#DIV/0!</v>
      </c>
      <c r="F13" s="49" t="e">
        <f t="shared" si="2"/>
        <v>#DIV/0!</v>
      </c>
      <c r="G13" s="49" t="e">
        <f t="shared" si="2"/>
        <v>#DIV/0!</v>
      </c>
      <c r="H13" s="49" t="e">
        <f t="shared" si="2"/>
        <v>#DIV/0!</v>
      </c>
      <c r="I13" s="49" t="e">
        <f t="shared" si="2"/>
        <v>#DIV/0!</v>
      </c>
      <c r="J13" s="48" t="e">
        <f t="shared" si="2"/>
        <v>#DIV/0!</v>
      </c>
      <c r="K13" s="49" t="e">
        <f t="shared" si="2"/>
        <v>#DIV/0!</v>
      </c>
      <c r="L13" s="49" t="e">
        <f t="shared" si="2"/>
        <v>#DIV/0!</v>
      </c>
      <c r="M13" s="49" t="e">
        <f t="shared" si="2"/>
        <v>#DIV/0!</v>
      </c>
      <c r="N13" s="49" t="e">
        <f t="shared" si="2"/>
        <v>#DIV/0!</v>
      </c>
      <c r="O13" s="50" t="e">
        <f t="shared" si="2"/>
        <v>#DIV/0!</v>
      </c>
      <c r="P13" s="50" t="e">
        <f t="shared" si="2"/>
        <v>#DIV/0!</v>
      </c>
      <c r="Q13" s="51" t="e">
        <f t="shared" si="2"/>
        <v>#DIV/0!</v>
      </c>
      <c r="R13" s="40"/>
    </row>
    <row r="14" spans="2:18" s="34" customFormat="1" x14ac:dyDescent="0.25">
      <c r="B14" s="43"/>
      <c r="C14" s="4"/>
      <c r="D14" s="4"/>
      <c r="E14" s="4"/>
      <c r="F14" s="5"/>
      <c r="G14" s="5"/>
      <c r="H14" s="5"/>
      <c r="I14" s="5"/>
      <c r="J14" s="4"/>
      <c r="K14" s="5"/>
      <c r="L14" s="5"/>
      <c r="M14" s="5"/>
      <c r="N14" s="5"/>
      <c r="O14" s="52" t="e">
        <f>O12/O8</f>
        <v>#DIV/0!</v>
      </c>
      <c r="P14" s="52" t="e">
        <f t="shared" ref="P14:Q14" si="3">P12/P8</f>
        <v>#DIV/0!</v>
      </c>
      <c r="Q14" s="53" t="e">
        <f t="shared" si="3"/>
        <v>#DIV/0!</v>
      </c>
      <c r="R14" s="40" t="s">
        <v>26</v>
      </c>
    </row>
    <row r="15" spans="2:18" x14ac:dyDescent="0.25">
      <c r="H15" t="s">
        <v>135</v>
      </c>
    </row>
    <row r="16" spans="2:18" x14ac:dyDescent="0.25">
      <c r="B16" s="44" t="s">
        <v>4</v>
      </c>
    </row>
    <row r="17" spans="2:18" s="337" customFormat="1" x14ac:dyDescent="0.25">
      <c r="B17" s="329" t="s">
        <v>5</v>
      </c>
      <c r="C17" s="330"/>
      <c r="D17" s="330"/>
      <c r="E17" s="330"/>
      <c r="F17" s="331"/>
      <c r="G17" s="331"/>
      <c r="H17" s="331"/>
      <c r="I17" s="331"/>
      <c r="J17" s="332">
        <f t="shared" ref="J17:J19" si="4">SUM(F17:I17)</f>
        <v>0</v>
      </c>
      <c r="K17" s="331"/>
      <c r="L17" s="331"/>
      <c r="M17" s="331"/>
      <c r="N17" s="331"/>
      <c r="O17" s="333">
        <f t="shared" ref="O17:O19" si="5">SUM(K17:N17)</f>
        <v>0</v>
      </c>
      <c r="P17" s="334"/>
      <c r="Q17" s="335"/>
      <c r="R17" s="336"/>
    </row>
    <row r="18" spans="2:18" s="337" customFormat="1" x14ac:dyDescent="0.25">
      <c r="B18" s="329" t="s">
        <v>6</v>
      </c>
      <c r="C18" s="330"/>
      <c r="D18" s="330"/>
      <c r="E18" s="330"/>
      <c r="F18" s="331"/>
      <c r="G18" s="331"/>
      <c r="H18" s="331"/>
      <c r="I18" s="331"/>
      <c r="J18" s="332">
        <f t="shared" si="4"/>
        <v>0</v>
      </c>
      <c r="K18" s="331"/>
      <c r="L18" s="331"/>
      <c r="M18" s="331"/>
      <c r="N18" s="331"/>
      <c r="O18" s="333">
        <f t="shared" si="5"/>
        <v>0</v>
      </c>
      <c r="P18" s="334"/>
      <c r="Q18" s="335"/>
      <c r="R18" s="336"/>
    </row>
    <row r="19" spans="2:18" s="337" customFormat="1" x14ac:dyDescent="0.25">
      <c r="B19" s="329" t="s">
        <v>7</v>
      </c>
      <c r="C19" s="330"/>
      <c r="D19" s="330"/>
      <c r="E19" s="330"/>
      <c r="F19" s="331"/>
      <c r="G19" s="331"/>
      <c r="H19" s="331"/>
      <c r="I19" s="331"/>
      <c r="J19" s="332">
        <f t="shared" si="4"/>
        <v>0</v>
      </c>
      <c r="K19" s="331"/>
      <c r="L19" s="331"/>
      <c r="M19" s="331"/>
      <c r="N19" s="331"/>
      <c r="O19" s="333">
        <f t="shared" si="5"/>
        <v>0</v>
      </c>
      <c r="P19" s="334"/>
      <c r="Q19" s="335"/>
      <c r="R19" s="336"/>
    </row>
    <row r="20" spans="2:18" s="346" customFormat="1" x14ac:dyDescent="0.25">
      <c r="B20" s="347" t="s">
        <v>8</v>
      </c>
      <c r="C20" s="341">
        <f>SUM(C17:C19)</f>
        <v>0</v>
      </c>
      <c r="D20" s="341">
        <f t="shared" ref="D20" si="6">SUM(D17:D19)</f>
        <v>0</v>
      </c>
      <c r="E20" s="341">
        <f>SUM(E17:E19)</f>
        <v>0</v>
      </c>
      <c r="F20" s="348">
        <f t="shared" ref="F20:Q20" si="7">SUM(F17:F19)</f>
        <v>0</v>
      </c>
      <c r="G20" s="348">
        <f t="shared" si="7"/>
        <v>0</v>
      </c>
      <c r="H20" s="348">
        <f t="shared" si="7"/>
        <v>0</v>
      </c>
      <c r="I20" s="348">
        <f t="shared" si="7"/>
        <v>0</v>
      </c>
      <c r="J20" s="341">
        <f t="shared" si="7"/>
        <v>0</v>
      </c>
      <c r="K20" s="348">
        <f t="shared" si="7"/>
        <v>0</v>
      </c>
      <c r="L20" s="348">
        <f t="shared" si="7"/>
        <v>0</v>
      </c>
      <c r="M20" s="348">
        <f t="shared" si="7"/>
        <v>0</v>
      </c>
      <c r="N20" s="348">
        <f t="shared" si="7"/>
        <v>0</v>
      </c>
      <c r="O20" s="342">
        <f t="shared" si="7"/>
        <v>0</v>
      </c>
      <c r="P20" s="342">
        <f t="shared" si="7"/>
        <v>0</v>
      </c>
      <c r="Q20" s="349">
        <f t="shared" si="7"/>
        <v>0</v>
      </c>
      <c r="R20" s="345"/>
    </row>
    <row r="21" spans="2:18" s="34" customFormat="1" x14ac:dyDescent="0.25">
      <c r="B21" s="46" t="s">
        <v>21</v>
      </c>
      <c r="C21" s="48" t="e">
        <f t="shared" ref="C21:Q21" si="8">C20/C$6</f>
        <v>#DIV/0!</v>
      </c>
      <c r="D21" s="48" t="e">
        <f t="shared" si="8"/>
        <v>#DIV/0!</v>
      </c>
      <c r="E21" s="48" t="e">
        <f t="shared" si="8"/>
        <v>#DIV/0!</v>
      </c>
      <c r="F21" s="49" t="e">
        <f t="shared" si="8"/>
        <v>#DIV/0!</v>
      </c>
      <c r="G21" s="49" t="e">
        <f t="shared" si="8"/>
        <v>#DIV/0!</v>
      </c>
      <c r="H21" s="49" t="e">
        <f t="shared" si="8"/>
        <v>#DIV/0!</v>
      </c>
      <c r="I21" s="49" t="e">
        <f t="shared" si="8"/>
        <v>#DIV/0!</v>
      </c>
      <c r="J21" s="48" t="e">
        <f t="shared" si="8"/>
        <v>#DIV/0!</v>
      </c>
      <c r="K21" s="49" t="e">
        <f t="shared" si="8"/>
        <v>#DIV/0!</v>
      </c>
      <c r="L21" s="49" t="e">
        <f t="shared" si="8"/>
        <v>#DIV/0!</v>
      </c>
      <c r="M21" s="49" t="e">
        <f t="shared" si="8"/>
        <v>#DIV/0!</v>
      </c>
      <c r="N21" s="49" t="e">
        <f t="shared" si="8"/>
        <v>#DIV/0!</v>
      </c>
      <c r="O21" s="50" t="e">
        <f t="shared" si="8"/>
        <v>#DIV/0!</v>
      </c>
      <c r="P21" s="50" t="e">
        <f t="shared" si="8"/>
        <v>#DIV/0!</v>
      </c>
      <c r="Q21" s="51" t="e">
        <f t="shared" si="8"/>
        <v>#DIV/0!</v>
      </c>
      <c r="R21" s="40"/>
    </row>
    <row r="22" spans="2:18" s="346" customFormat="1" x14ac:dyDescent="0.25">
      <c r="B22" s="350" t="s">
        <v>9</v>
      </c>
      <c r="C22" s="351">
        <f t="shared" ref="C22:L22" si="9">C11-C20</f>
        <v>0</v>
      </c>
      <c r="D22" s="351">
        <f t="shared" si="9"/>
        <v>0</v>
      </c>
      <c r="E22" s="351">
        <f t="shared" si="9"/>
        <v>0</v>
      </c>
      <c r="F22" s="352">
        <f t="shared" si="9"/>
        <v>0</v>
      </c>
      <c r="G22" s="352">
        <f t="shared" si="9"/>
        <v>0</v>
      </c>
      <c r="H22" s="352">
        <f t="shared" si="9"/>
        <v>0</v>
      </c>
      <c r="I22" s="352">
        <f t="shared" si="9"/>
        <v>0</v>
      </c>
      <c r="J22" s="351">
        <f>SUM(F22:I22)</f>
        <v>0</v>
      </c>
      <c r="K22" s="352">
        <f t="shared" si="9"/>
        <v>0</v>
      </c>
      <c r="L22" s="352">
        <f t="shared" si="9"/>
        <v>0</v>
      </c>
      <c r="M22" s="352">
        <f>M11-M20</f>
        <v>0</v>
      </c>
      <c r="N22" s="352">
        <f>N11-N20</f>
        <v>0</v>
      </c>
      <c r="O22" s="353">
        <f>SUM(K22:N22)</f>
        <v>0</v>
      </c>
      <c r="P22" s="353">
        <f>P11-P20</f>
        <v>0</v>
      </c>
      <c r="Q22" s="354">
        <f>Q11-Q20</f>
        <v>0</v>
      </c>
      <c r="R22" s="345"/>
    </row>
    <row r="23" spans="2:18" s="337" customFormat="1" x14ac:dyDescent="0.25">
      <c r="B23" s="329" t="s">
        <v>33</v>
      </c>
      <c r="C23" s="330"/>
      <c r="D23" s="330"/>
      <c r="E23" s="330"/>
      <c r="F23" s="331"/>
      <c r="G23" s="331"/>
      <c r="H23" s="331"/>
      <c r="I23" s="331"/>
      <c r="J23" s="332">
        <f>SUM(F23:I23)</f>
        <v>0</v>
      </c>
      <c r="K23" s="331"/>
      <c r="L23" s="331"/>
      <c r="M23" s="331"/>
      <c r="N23" s="331"/>
      <c r="O23" s="333">
        <f>SUM(K23:N23)</f>
        <v>0</v>
      </c>
      <c r="P23" s="334"/>
      <c r="Q23" s="335"/>
      <c r="R23" s="336"/>
    </row>
    <row r="24" spans="2:18" s="346" customFormat="1" x14ac:dyDescent="0.25">
      <c r="B24" s="350" t="s">
        <v>10</v>
      </c>
      <c r="C24" s="351">
        <f>SUM(C22:C23)</f>
        <v>0</v>
      </c>
      <c r="D24" s="351">
        <f t="shared" ref="D24:Q24" si="10">SUM(D22:D23)</f>
        <v>0</v>
      </c>
      <c r="E24" s="351">
        <f t="shared" si="10"/>
        <v>0</v>
      </c>
      <c r="F24" s="352">
        <f t="shared" si="10"/>
        <v>0</v>
      </c>
      <c r="G24" s="352">
        <f t="shared" si="10"/>
        <v>0</v>
      </c>
      <c r="H24" s="352">
        <f t="shared" si="10"/>
        <v>0</v>
      </c>
      <c r="I24" s="352">
        <f t="shared" si="10"/>
        <v>0</v>
      </c>
      <c r="J24" s="351">
        <f>SUM(J22:J23)</f>
        <v>0</v>
      </c>
      <c r="K24" s="352">
        <f t="shared" si="10"/>
        <v>0</v>
      </c>
      <c r="L24" s="352">
        <f t="shared" si="10"/>
        <v>0</v>
      </c>
      <c r="M24" s="352">
        <f t="shared" si="10"/>
        <v>0</v>
      </c>
      <c r="N24" s="352">
        <f t="shared" si="10"/>
        <v>0</v>
      </c>
      <c r="O24" s="353">
        <f>SUM(O22:O23)</f>
        <v>0</v>
      </c>
      <c r="P24" s="353">
        <f t="shared" si="10"/>
        <v>0</v>
      </c>
      <c r="Q24" s="354">
        <f t="shared" si="10"/>
        <v>0</v>
      </c>
      <c r="R24" s="345"/>
    </row>
    <row r="25" spans="2:18" s="34" customFormat="1" x14ac:dyDescent="0.25">
      <c r="B25" s="43"/>
      <c r="C25" s="4"/>
      <c r="D25" s="4"/>
      <c r="E25" s="4"/>
      <c r="F25" s="5"/>
      <c r="G25" s="5"/>
      <c r="H25" s="5"/>
      <c r="I25" s="5"/>
      <c r="J25" s="4"/>
      <c r="K25" s="5"/>
      <c r="L25" s="5"/>
      <c r="M25" s="5"/>
      <c r="N25" s="5"/>
      <c r="O25" s="22"/>
      <c r="P25" s="22"/>
      <c r="Q25" s="23"/>
      <c r="R25" s="40" t="s">
        <v>26</v>
      </c>
    </row>
    <row r="26" spans="2:18" s="34" customFormat="1" x14ac:dyDescent="0.25">
      <c r="B26" s="46" t="s">
        <v>21</v>
      </c>
      <c r="C26" s="48" t="e">
        <f>C24/C$6</f>
        <v>#DIV/0!</v>
      </c>
      <c r="D26" s="48" t="e">
        <f t="shared" ref="D26" si="11">D24/D$6</f>
        <v>#DIV/0!</v>
      </c>
      <c r="E26" s="48" t="e">
        <f t="shared" ref="E26" si="12">E24/E$6</f>
        <v>#DIV/0!</v>
      </c>
      <c r="F26" s="49" t="e">
        <f t="shared" ref="F26" si="13">F24/F$6</f>
        <v>#DIV/0!</v>
      </c>
      <c r="G26" s="49" t="e">
        <f t="shared" ref="G26" si="14">G24/G$6</f>
        <v>#DIV/0!</v>
      </c>
      <c r="H26" s="49" t="e">
        <f t="shared" ref="H26" si="15">H24/H$6</f>
        <v>#DIV/0!</v>
      </c>
      <c r="I26" s="49" t="e">
        <f t="shared" ref="I26" si="16">I24/I$6</f>
        <v>#DIV/0!</v>
      </c>
      <c r="J26" s="48" t="e">
        <f t="shared" ref="J26" si="17">J24/J$6</f>
        <v>#DIV/0!</v>
      </c>
      <c r="K26" s="49" t="e">
        <f t="shared" ref="K26" si="18">K24/K$6</f>
        <v>#DIV/0!</v>
      </c>
      <c r="L26" s="49" t="e">
        <f t="shared" ref="L26" si="19">L24/L$6</f>
        <v>#DIV/0!</v>
      </c>
      <c r="M26" s="49" t="e">
        <f t="shared" ref="M26" si="20">M24/M$6</f>
        <v>#DIV/0!</v>
      </c>
      <c r="N26" s="49" t="e">
        <f t="shared" ref="N26" si="21">N24/N$6</f>
        <v>#DIV/0!</v>
      </c>
      <c r="O26" s="50" t="e">
        <f>O24/O$6</f>
        <v>#DIV/0!</v>
      </c>
      <c r="P26" s="50" t="e">
        <f t="shared" ref="P26" si="22">P24/P$6</f>
        <v>#DIV/0!</v>
      </c>
      <c r="Q26" s="51" t="e">
        <f t="shared" ref="Q26" si="23">Q24/Q$6</f>
        <v>#DIV/0!</v>
      </c>
      <c r="R26" s="40"/>
    </row>
    <row r="27" spans="2:18" s="34" customFormat="1" x14ac:dyDescent="0.25">
      <c r="B27" s="43"/>
      <c r="C27" s="4"/>
      <c r="D27" s="4"/>
      <c r="E27" s="4"/>
      <c r="F27" s="5"/>
      <c r="G27" s="5"/>
      <c r="H27" s="5"/>
      <c r="I27" s="5"/>
      <c r="J27" s="4"/>
      <c r="K27" s="5"/>
      <c r="L27" s="5"/>
      <c r="M27" s="5"/>
      <c r="N27" s="5"/>
      <c r="O27" s="52" t="e">
        <f>O25/O$8</f>
        <v>#DIV/0!</v>
      </c>
      <c r="P27" s="52" t="e">
        <f t="shared" ref="P27:Q27" si="24">P25/P$8</f>
        <v>#DIV/0!</v>
      </c>
      <c r="Q27" s="53" t="e">
        <f t="shared" si="24"/>
        <v>#DIV/0!</v>
      </c>
      <c r="R27" s="40" t="s">
        <v>26</v>
      </c>
    </row>
    <row r="28" spans="2:18" s="36" customFormat="1" x14ac:dyDescent="0.25">
      <c r="B28" s="45"/>
      <c r="C28" s="3"/>
      <c r="D28" s="3"/>
      <c r="E28" s="3"/>
      <c r="F28" s="2"/>
      <c r="G28" s="2"/>
      <c r="H28" s="2"/>
      <c r="I28" s="2"/>
      <c r="J28" s="3"/>
      <c r="K28" s="2"/>
      <c r="L28" s="2"/>
      <c r="M28" s="2"/>
      <c r="N28" s="2"/>
      <c r="O28" s="9"/>
      <c r="P28" s="9"/>
      <c r="Q28" s="21"/>
      <c r="R28" s="41"/>
    </row>
    <row r="29" spans="2:18" s="337" customFormat="1" x14ac:dyDescent="0.25">
      <c r="B29" s="329" t="s">
        <v>11</v>
      </c>
      <c r="C29" s="330"/>
      <c r="D29" s="330"/>
      <c r="E29" s="330"/>
      <c r="F29" s="331"/>
      <c r="G29" s="331"/>
      <c r="H29" s="331"/>
      <c r="I29" s="331"/>
      <c r="J29" s="332">
        <f>SUM(F29:I29)</f>
        <v>0</v>
      </c>
      <c r="K29" s="331"/>
      <c r="L29" s="331"/>
      <c r="M29" s="331"/>
      <c r="N29" s="331"/>
      <c r="O29" s="333">
        <f>SUM(K29:N29)</f>
        <v>0</v>
      </c>
      <c r="P29" s="334"/>
      <c r="Q29" s="335"/>
      <c r="R29" s="336"/>
    </row>
    <row r="30" spans="2:18" s="337" customFormat="1" x14ac:dyDescent="0.25">
      <c r="B30" s="329" t="s">
        <v>12</v>
      </c>
      <c r="C30" s="330"/>
      <c r="D30" s="330"/>
      <c r="E30" s="330"/>
      <c r="F30" s="331"/>
      <c r="G30" s="331"/>
      <c r="H30" s="331"/>
      <c r="I30" s="331"/>
      <c r="J30" s="332">
        <f t="shared" ref="J30:J31" si="25">SUM(F30:I30)</f>
        <v>0</v>
      </c>
      <c r="K30" s="331"/>
      <c r="L30" s="331"/>
      <c r="M30" s="331"/>
      <c r="N30" s="331"/>
      <c r="O30" s="333">
        <f>SUM(K30:N30)</f>
        <v>0</v>
      </c>
      <c r="P30" s="334"/>
      <c r="Q30" s="335"/>
      <c r="R30" s="336"/>
    </row>
    <row r="31" spans="2:18" s="337" customFormat="1" x14ac:dyDescent="0.25">
      <c r="B31" s="329" t="s">
        <v>13</v>
      </c>
      <c r="C31" s="330"/>
      <c r="D31" s="330"/>
      <c r="E31" s="330"/>
      <c r="F31" s="331"/>
      <c r="G31" s="331"/>
      <c r="H31" s="331"/>
      <c r="I31" s="331"/>
      <c r="J31" s="332">
        <f t="shared" si="25"/>
        <v>0</v>
      </c>
      <c r="K31" s="331"/>
      <c r="L31" s="331"/>
      <c r="M31" s="331"/>
      <c r="N31" s="331"/>
      <c r="O31" s="333">
        <f>SUM(K31:N31)</f>
        <v>0</v>
      </c>
      <c r="P31" s="334"/>
      <c r="Q31" s="335"/>
      <c r="R31" s="336"/>
    </row>
    <row r="32" spans="2:18" s="346" customFormat="1" x14ac:dyDescent="0.25">
      <c r="B32" s="355" t="s">
        <v>23</v>
      </c>
      <c r="C32" s="341">
        <f>SUM(C29:C31)</f>
        <v>0</v>
      </c>
      <c r="D32" s="341">
        <f t="shared" ref="D32:J32" si="26">SUM(D29:D31)</f>
        <v>0</v>
      </c>
      <c r="E32" s="341">
        <f t="shared" si="26"/>
        <v>0</v>
      </c>
      <c r="F32" s="348">
        <f t="shared" si="26"/>
        <v>0</v>
      </c>
      <c r="G32" s="348">
        <f t="shared" si="26"/>
        <v>0</v>
      </c>
      <c r="H32" s="348">
        <f t="shared" si="26"/>
        <v>0</v>
      </c>
      <c r="I32" s="348">
        <f t="shared" si="26"/>
        <v>0</v>
      </c>
      <c r="J32" s="341">
        <f t="shared" si="26"/>
        <v>0</v>
      </c>
      <c r="K32" s="348">
        <f t="shared" ref="K32" si="27">SUM(K29:K31)</f>
        <v>0</v>
      </c>
      <c r="L32" s="348">
        <f t="shared" ref="L32" si="28">SUM(L29:L31)</f>
        <v>0</v>
      </c>
      <c r="M32" s="348">
        <f t="shared" ref="M32" si="29">SUM(M29:M31)</f>
        <v>0</v>
      </c>
      <c r="N32" s="348">
        <f t="shared" ref="N32" si="30">SUM(N29:N31)</f>
        <v>0</v>
      </c>
      <c r="O32" s="342">
        <f t="shared" ref="O32" si="31">SUM(O29:O31)</f>
        <v>0</v>
      </c>
      <c r="P32" s="342">
        <f t="shared" ref="P32" si="32">SUM(P29:P31)</f>
        <v>0</v>
      </c>
      <c r="Q32" s="349">
        <f t="shared" ref="Q32" si="33">SUM(Q29:Q31)</f>
        <v>0</v>
      </c>
      <c r="R32" s="345"/>
    </row>
    <row r="34" spans="2:18" s="337" customFormat="1" x14ac:dyDescent="0.25">
      <c r="B34" s="355" t="s">
        <v>14</v>
      </c>
      <c r="C34" s="332">
        <f t="shared" ref="C34:I34" si="34">C32+C22</f>
        <v>0</v>
      </c>
      <c r="D34" s="332">
        <f t="shared" si="34"/>
        <v>0</v>
      </c>
      <c r="E34" s="332">
        <f t="shared" si="34"/>
        <v>0</v>
      </c>
      <c r="F34" s="356">
        <f t="shared" si="34"/>
        <v>0</v>
      </c>
      <c r="G34" s="356">
        <f t="shared" si="34"/>
        <v>0</v>
      </c>
      <c r="H34" s="356">
        <f t="shared" si="34"/>
        <v>0</v>
      </c>
      <c r="I34" s="356">
        <f t="shared" si="34"/>
        <v>0</v>
      </c>
      <c r="J34" s="332">
        <f>SUM(F34:I34)</f>
        <v>0</v>
      </c>
      <c r="K34" s="356">
        <f>K32+K22</f>
        <v>0</v>
      </c>
      <c r="L34" s="356">
        <f>L32+L22</f>
        <v>0</v>
      </c>
      <c r="M34" s="356">
        <f>M32+M22</f>
        <v>0</v>
      </c>
      <c r="N34" s="356">
        <f>N32+N22</f>
        <v>0</v>
      </c>
      <c r="O34" s="333">
        <f>O32+O22</f>
        <v>0</v>
      </c>
      <c r="P34" s="333">
        <f t="shared" ref="P34:Q34" si="35">P32+P22</f>
        <v>0</v>
      </c>
      <c r="Q34" s="357">
        <f t="shared" si="35"/>
        <v>0</v>
      </c>
      <c r="R34" s="336"/>
    </row>
    <row r="35" spans="2:18" s="337" customFormat="1" x14ac:dyDescent="0.25">
      <c r="B35" s="329" t="s">
        <v>24</v>
      </c>
      <c r="C35" s="330"/>
      <c r="D35" s="330"/>
      <c r="E35" s="330"/>
      <c r="F35" s="331"/>
      <c r="G35" s="331"/>
      <c r="H35" s="331"/>
      <c r="I35" s="331"/>
      <c r="J35" s="332">
        <f>SUM(F35:I35)</f>
        <v>0</v>
      </c>
      <c r="K35" s="331"/>
      <c r="L35" s="331"/>
      <c r="M35" s="331"/>
      <c r="N35" s="331"/>
      <c r="O35" s="333">
        <f>SUM(K35:N35)</f>
        <v>0</v>
      </c>
      <c r="P35" s="334"/>
      <c r="Q35" s="335"/>
      <c r="R35" s="336"/>
    </row>
    <row r="36" spans="2:18" s="32" customFormat="1" x14ac:dyDescent="0.25">
      <c r="B36" s="44" t="s">
        <v>15</v>
      </c>
      <c r="C36" s="54" t="e">
        <f t="shared" ref="C36:Q36" si="36">-C35/C34</f>
        <v>#DIV/0!</v>
      </c>
      <c r="D36" s="54" t="e">
        <f t="shared" si="36"/>
        <v>#DIV/0!</v>
      </c>
      <c r="E36" s="54" t="e">
        <f t="shared" si="36"/>
        <v>#DIV/0!</v>
      </c>
      <c r="F36" s="55" t="e">
        <f t="shared" si="36"/>
        <v>#DIV/0!</v>
      </c>
      <c r="G36" s="55" t="e">
        <f t="shared" si="36"/>
        <v>#DIV/0!</v>
      </c>
      <c r="H36" s="55" t="e">
        <f t="shared" si="36"/>
        <v>#DIV/0!</v>
      </c>
      <c r="I36" s="55" t="e">
        <f t="shared" si="36"/>
        <v>#DIV/0!</v>
      </c>
      <c r="J36" s="54" t="e">
        <f t="shared" si="36"/>
        <v>#DIV/0!</v>
      </c>
      <c r="K36" s="55" t="e">
        <f t="shared" si="36"/>
        <v>#DIV/0!</v>
      </c>
      <c r="L36" s="55" t="e">
        <f t="shared" si="36"/>
        <v>#DIV/0!</v>
      </c>
      <c r="M36" s="55" t="e">
        <f t="shared" si="36"/>
        <v>#DIV/0!</v>
      </c>
      <c r="N36" s="55" t="e">
        <f t="shared" si="36"/>
        <v>#DIV/0!</v>
      </c>
      <c r="O36" s="56" t="e">
        <f t="shared" si="36"/>
        <v>#DIV/0!</v>
      </c>
      <c r="P36" s="56" t="e">
        <f t="shared" si="36"/>
        <v>#DIV/0!</v>
      </c>
      <c r="Q36" s="57" t="e">
        <f t="shared" si="36"/>
        <v>#DIV/0!</v>
      </c>
      <c r="R36" s="39"/>
    </row>
    <row r="37" spans="2:18" s="337" customFormat="1" ht="15.75" customHeight="1" x14ac:dyDescent="0.25">
      <c r="B37" s="358" t="s">
        <v>16</v>
      </c>
      <c r="C37" s="359">
        <f>C35+C34</f>
        <v>0</v>
      </c>
      <c r="D37" s="359">
        <f t="shared" ref="D37:Q37" si="37">D35+D34</f>
        <v>0</v>
      </c>
      <c r="E37" s="359">
        <f t="shared" si="37"/>
        <v>0</v>
      </c>
      <c r="F37" s="360">
        <f t="shared" si="37"/>
        <v>0</v>
      </c>
      <c r="G37" s="360">
        <f t="shared" si="37"/>
        <v>0</v>
      </c>
      <c r="H37" s="360">
        <f t="shared" si="37"/>
        <v>0</v>
      </c>
      <c r="I37" s="360">
        <f t="shared" si="37"/>
        <v>0</v>
      </c>
      <c r="J37" s="359">
        <f>SUM(F37:I37)</f>
        <v>0</v>
      </c>
      <c r="K37" s="360">
        <f>K35+K34</f>
        <v>0</v>
      </c>
      <c r="L37" s="360">
        <f t="shared" si="37"/>
        <v>0</v>
      </c>
      <c r="M37" s="360">
        <f t="shared" si="37"/>
        <v>0</v>
      </c>
      <c r="N37" s="360">
        <f t="shared" si="37"/>
        <v>0</v>
      </c>
      <c r="O37" s="361">
        <f>SUM(K37:N37)</f>
        <v>0</v>
      </c>
      <c r="P37" s="361">
        <f t="shared" si="37"/>
        <v>0</v>
      </c>
      <c r="Q37" s="362">
        <f t="shared" si="37"/>
        <v>0</v>
      </c>
      <c r="R37" s="336"/>
    </row>
    <row r="38" spans="2:18" s="36" customFormat="1" x14ac:dyDescent="0.25">
      <c r="B38" s="45" t="s">
        <v>17</v>
      </c>
      <c r="C38" s="3"/>
      <c r="D38" s="3"/>
      <c r="E38" s="3"/>
      <c r="F38" s="2"/>
      <c r="G38" s="2"/>
      <c r="H38" s="2"/>
      <c r="I38" s="2"/>
      <c r="J38" s="3"/>
      <c r="K38" s="2"/>
      <c r="L38" s="2"/>
      <c r="M38" s="2"/>
      <c r="N38" s="2"/>
      <c r="O38" s="9"/>
      <c r="P38" s="9"/>
      <c r="Q38" s="21"/>
      <c r="R38" s="41"/>
    </row>
    <row r="39" spans="2:18" s="337" customFormat="1" x14ac:dyDescent="0.25">
      <c r="B39" s="363" t="s">
        <v>18</v>
      </c>
      <c r="C39" s="364">
        <f>SUM(C37:C38)</f>
        <v>0</v>
      </c>
      <c r="D39" s="364">
        <f t="shared" ref="D39:Q39" si="38">SUM(D37:D38)</f>
        <v>0</v>
      </c>
      <c r="E39" s="364">
        <f t="shared" si="38"/>
        <v>0</v>
      </c>
      <c r="F39" s="365">
        <f t="shared" si="38"/>
        <v>0</v>
      </c>
      <c r="G39" s="365">
        <f t="shared" si="38"/>
        <v>0</v>
      </c>
      <c r="H39" s="365">
        <f t="shared" si="38"/>
        <v>0</v>
      </c>
      <c r="I39" s="365">
        <f t="shared" si="38"/>
        <v>0</v>
      </c>
      <c r="J39" s="364">
        <f t="shared" si="38"/>
        <v>0</v>
      </c>
      <c r="K39" s="365">
        <f t="shared" si="38"/>
        <v>0</v>
      </c>
      <c r="L39" s="365">
        <f t="shared" si="38"/>
        <v>0</v>
      </c>
      <c r="M39" s="365">
        <f t="shared" si="38"/>
        <v>0</v>
      </c>
      <c r="N39" s="365">
        <f t="shared" si="38"/>
        <v>0</v>
      </c>
      <c r="O39" s="366">
        <f t="shared" si="38"/>
        <v>0</v>
      </c>
      <c r="P39" s="366">
        <f t="shared" si="38"/>
        <v>0</v>
      </c>
      <c r="Q39" s="367">
        <f t="shared" si="38"/>
        <v>0</v>
      </c>
      <c r="R39" s="336"/>
    </row>
    <row r="40" spans="2:18" s="337" customFormat="1" x14ac:dyDescent="0.25">
      <c r="B40" s="329" t="s">
        <v>19</v>
      </c>
      <c r="C40" s="330"/>
      <c r="D40" s="330"/>
      <c r="E40" s="330"/>
      <c r="F40" s="331"/>
      <c r="G40" s="331"/>
      <c r="H40" s="331"/>
      <c r="I40" s="331"/>
      <c r="J40" s="332">
        <f>SUM(F40:I40)</f>
        <v>0</v>
      </c>
      <c r="K40" s="331"/>
      <c r="L40" s="331"/>
      <c r="M40" s="331"/>
      <c r="N40" s="331"/>
      <c r="O40" s="333">
        <f>SUM(K40:N40)</f>
        <v>0</v>
      </c>
      <c r="P40" s="334"/>
      <c r="Q40" s="335"/>
      <c r="R40" s="336"/>
    </row>
    <row r="41" spans="2:18" s="346" customFormat="1" x14ac:dyDescent="0.25">
      <c r="B41" s="350" t="s">
        <v>20</v>
      </c>
      <c r="C41" s="351">
        <f>SUM(C39:C40)</f>
        <v>0</v>
      </c>
      <c r="D41" s="351">
        <f t="shared" ref="D41:P41" si="39">SUM(D39:D40)</f>
        <v>0</v>
      </c>
      <c r="E41" s="351">
        <f t="shared" si="39"/>
        <v>0</v>
      </c>
      <c r="F41" s="352">
        <f t="shared" si="39"/>
        <v>0</v>
      </c>
      <c r="G41" s="352">
        <f t="shared" si="39"/>
        <v>0</v>
      </c>
      <c r="H41" s="352">
        <f t="shared" si="39"/>
        <v>0</v>
      </c>
      <c r="I41" s="352">
        <f t="shared" si="39"/>
        <v>0</v>
      </c>
      <c r="J41" s="351">
        <f t="shared" si="39"/>
        <v>0</v>
      </c>
      <c r="K41" s="352">
        <f t="shared" si="39"/>
        <v>0</v>
      </c>
      <c r="L41" s="352">
        <f t="shared" si="39"/>
        <v>0</v>
      </c>
      <c r="M41" s="352">
        <f t="shared" si="39"/>
        <v>0</v>
      </c>
      <c r="N41" s="352">
        <f t="shared" si="39"/>
        <v>0</v>
      </c>
      <c r="O41" s="353">
        <f t="shared" si="39"/>
        <v>0</v>
      </c>
      <c r="P41" s="353">
        <f t="shared" si="39"/>
        <v>0</v>
      </c>
      <c r="Q41" s="354">
        <f>SUM(Q39:Q40)</f>
        <v>0</v>
      </c>
      <c r="R41" s="345"/>
    </row>
    <row r="43" spans="2:18" s="337" customFormat="1" x14ac:dyDescent="0.25">
      <c r="B43" s="329" t="s">
        <v>25</v>
      </c>
      <c r="C43" s="330"/>
      <c r="D43" s="330"/>
      <c r="E43" s="330"/>
      <c r="F43" s="331"/>
      <c r="G43" s="331"/>
      <c r="H43" s="331"/>
      <c r="I43" s="331"/>
      <c r="J43" s="332" t="e">
        <f>AVERAGE(F43:I43)</f>
        <v>#DIV/0!</v>
      </c>
      <c r="K43" s="331"/>
      <c r="L43" s="331"/>
      <c r="M43" s="331"/>
      <c r="N43" s="331"/>
      <c r="O43" s="333" t="e">
        <f>AVERAGE(K43:N43)</f>
        <v>#DIV/0!</v>
      </c>
      <c r="P43" s="334"/>
      <c r="Q43" s="335"/>
      <c r="R43" s="336"/>
    </row>
    <row r="44" spans="2:18" s="346" customFormat="1" ht="17.25" x14ac:dyDescent="0.3">
      <c r="B44" s="355" t="s">
        <v>27</v>
      </c>
      <c r="C44" s="341" t="e">
        <f>C39/C43</f>
        <v>#DIV/0!</v>
      </c>
      <c r="D44" s="341" t="e">
        <f t="shared" ref="D44:Q44" si="40">D39/D43</f>
        <v>#DIV/0!</v>
      </c>
      <c r="E44" s="341" t="e">
        <f t="shared" si="40"/>
        <v>#DIV/0!</v>
      </c>
      <c r="F44" s="348" t="e">
        <f t="shared" si="40"/>
        <v>#DIV/0!</v>
      </c>
      <c r="G44" s="348" t="e">
        <f t="shared" si="40"/>
        <v>#DIV/0!</v>
      </c>
      <c r="H44" s="348" t="e">
        <f>H39/H43</f>
        <v>#DIV/0!</v>
      </c>
      <c r="I44" s="348" t="e">
        <f t="shared" si="40"/>
        <v>#DIV/0!</v>
      </c>
      <c r="J44" s="341" t="e">
        <f>SUM(F44:I44)</f>
        <v>#DIV/0!</v>
      </c>
      <c r="K44" s="348" t="e">
        <f t="shared" si="40"/>
        <v>#DIV/0!</v>
      </c>
      <c r="L44" s="348" t="e">
        <f t="shared" si="40"/>
        <v>#DIV/0!</v>
      </c>
      <c r="M44" s="348" t="e">
        <f t="shared" si="40"/>
        <v>#DIV/0!</v>
      </c>
      <c r="N44" s="348" t="e">
        <f t="shared" si="40"/>
        <v>#DIV/0!</v>
      </c>
      <c r="O44" s="342" t="e">
        <f t="shared" si="40"/>
        <v>#DIV/0!</v>
      </c>
      <c r="P44" s="342" t="e">
        <f t="shared" si="40"/>
        <v>#DIV/0!</v>
      </c>
      <c r="Q44" s="349" t="e">
        <f t="shared" si="40"/>
        <v>#DIV/0!</v>
      </c>
      <c r="R44" s="345"/>
    </row>
    <row r="45" spans="2:18" x14ac:dyDescent="0.25">
      <c r="O45" s="24"/>
      <c r="P45" s="24"/>
      <c r="Q45" s="25"/>
      <c r="R45" s="40" t="s">
        <v>26</v>
      </c>
    </row>
  </sheetData>
  <mergeCells count="1">
    <mergeCell ref="B2:B3"/>
  </mergeCells>
  <conditionalFormatting sqref="K44:K1048576 K41:K42 K36:K39 K32:K34 K24:K28 K20:K22 K7:K9 K11:K16">
    <cfRule type="expression" dxfId="24" priority="16">
      <formula>RIGHT(K$5,1)="E"</formula>
    </cfRule>
  </conditionalFormatting>
  <conditionalFormatting sqref="K5:N5">
    <cfRule type="expression" dxfId="23" priority="14">
      <formula>RIGHT(K$5,1)="E"</formula>
    </cfRule>
  </conditionalFormatting>
  <conditionalFormatting sqref="L44:L1048576 L41:L42 L36:L39 L32:L34 L24:L28 L20:L22 L7:L9 L11:L16">
    <cfRule type="expression" dxfId="22" priority="13">
      <formula>RIGHT(L$5,1)="E"</formula>
    </cfRule>
  </conditionalFormatting>
  <conditionalFormatting sqref="M44:M1048576 M41:M42 M36:M39 M32:M34 M24:M28 M20:M22 M7:M9 M11:M16">
    <cfRule type="expression" dxfId="21" priority="12">
      <formula>RIGHT(M$5,1)="E"</formula>
    </cfRule>
  </conditionalFormatting>
  <conditionalFormatting sqref="N44:N1048576 N41:N42 N36:N39 N32:N34 N24:N28 N20:N22 N7:N9 N11:N16">
    <cfRule type="expression" dxfId="20" priority="11">
      <formula>RIGHT(N$5,1)="E"</formula>
    </cfRule>
  </conditionalFormatting>
  <conditionalFormatting sqref="K6:N6">
    <cfRule type="expression" dxfId="19" priority="8">
      <formula>RIGHT(K$5,1)="E"</formula>
    </cfRule>
  </conditionalFormatting>
  <conditionalFormatting sqref="K10:N10">
    <cfRule type="expression" dxfId="18" priority="7">
      <formula>RIGHT(K$5,1)="E"</formula>
    </cfRule>
  </conditionalFormatting>
  <conditionalFormatting sqref="K17:N19">
    <cfRule type="expression" dxfId="17" priority="6">
      <formula>RIGHT(K$5,1)="E"</formula>
    </cfRule>
  </conditionalFormatting>
  <conditionalFormatting sqref="K23:N23">
    <cfRule type="expression" dxfId="16" priority="5">
      <formula>RIGHT(K$5,1)="E"</formula>
    </cfRule>
  </conditionalFormatting>
  <conditionalFormatting sqref="K29:N31">
    <cfRule type="expression" dxfId="15" priority="4">
      <formula>RIGHT(K$5,1)="E"</formula>
    </cfRule>
  </conditionalFormatting>
  <conditionalFormatting sqref="K35:N35">
    <cfRule type="expression" dxfId="14" priority="3">
      <formula>RIGHT(K$5,1)="E"</formula>
    </cfRule>
  </conditionalFormatting>
  <conditionalFormatting sqref="K40:N40">
    <cfRule type="expression" dxfId="13" priority="2">
      <formula>RIGHT(K$5,1)="E"</formula>
    </cfRule>
  </conditionalFormatting>
  <conditionalFormatting sqref="K43:N43">
    <cfRule type="expression" dxfId="12" priority="1">
      <formula>RIGHT(K$5,1)="E"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67ECA-9065-49CE-8213-8876E009188A}">
  <sheetPr codeName="Sheet2">
    <tabColor theme="7"/>
  </sheetPr>
  <dimension ref="A1:Y40"/>
  <sheetViews>
    <sheetView showGridLines="0" zoomScale="125" zoomScaleNormal="125" workbookViewId="0">
      <pane ySplit="6" topLeftCell="A12" activePane="bottomLeft" state="frozen"/>
      <selection pane="bottomLeft" activeCell="H9" sqref="H9"/>
    </sheetView>
  </sheetViews>
  <sheetFormatPr defaultColWidth="0" defaultRowHeight="15" x14ac:dyDescent="0.25"/>
  <cols>
    <col min="1" max="1" width="3.7109375" style="124" customWidth="1"/>
    <col min="2" max="2" width="40.28515625" style="124" customWidth="1"/>
    <col min="3" max="3" width="12.140625" style="124" customWidth="1"/>
    <col min="4" max="4" width="1.5703125" style="124" customWidth="1"/>
    <col min="5" max="5" width="12.7109375" style="124" customWidth="1"/>
    <col min="6" max="6" width="13.140625" style="124" customWidth="1"/>
    <col min="7" max="12" width="12.7109375" style="124" customWidth="1"/>
    <col min="13" max="13" width="13.42578125" style="124" customWidth="1"/>
    <col min="14" max="15" width="12.7109375" style="124" customWidth="1"/>
    <col min="16" max="16" width="10.85546875" style="124" customWidth="1"/>
    <col min="17" max="17" width="3.7109375" style="124" customWidth="1"/>
    <col min="18" max="18" width="39.85546875" style="124" hidden="1" customWidth="1"/>
    <col min="19" max="21" width="12" style="124" hidden="1" customWidth="1"/>
    <col min="22" max="22" width="11.42578125" style="124" hidden="1" customWidth="1"/>
    <col min="23" max="23" width="12" style="124" hidden="1" customWidth="1"/>
    <col min="24" max="24" width="11.42578125" style="124" hidden="1" customWidth="1"/>
    <col min="25" max="25" width="20.7109375" style="124" hidden="1" customWidth="1"/>
    <col min="26" max="16384" width="11.42578125" style="124" hidden="1"/>
  </cols>
  <sheetData>
    <row r="1" spans="1:25" ht="6.75" customHeight="1" thickBot="1" x14ac:dyDescent="0.3"/>
    <row r="2" spans="1:25" ht="12.75" customHeight="1" x14ac:dyDescent="0.25">
      <c r="B2" s="67"/>
      <c r="C2" s="120"/>
      <c r="D2" s="68"/>
      <c r="E2" s="68"/>
      <c r="F2" s="68"/>
      <c r="G2" s="466" t="s">
        <v>34</v>
      </c>
      <c r="H2" s="466"/>
      <c r="I2" s="466"/>
      <c r="J2" s="68"/>
      <c r="K2" s="68"/>
      <c r="L2" s="68"/>
      <c r="M2" s="68"/>
      <c r="N2" s="461" t="s">
        <v>77</v>
      </c>
      <c r="O2" s="462"/>
      <c r="P2" s="122"/>
    </row>
    <row r="3" spans="1:25" s="368" customFormat="1" ht="12.75" customHeight="1" x14ac:dyDescent="0.25">
      <c r="B3" s="428" t="s">
        <v>149</v>
      </c>
      <c r="C3" s="369"/>
      <c r="D3" s="370"/>
      <c r="E3" s="370"/>
      <c r="F3" s="370"/>
      <c r="G3" s="467"/>
      <c r="H3" s="467"/>
      <c r="I3" s="467"/>
      <c r="J3" s="370"/>
      <c r="K3" s="370"/>
      <c r="L3" s="370"/>
      <c r="M3" s="370"/>
      <c r="N3" s="370"/>
      <c r="O3" s="371" t="s">
        <v>80</v>
      </c>
      <c r="P3" s="372" t="str">
        <f ca="1">IF($F$28&lt;&gt;"",$F$28,"")</f>
        <v/>
      </c>
    </row>
    <row r="4" spans="1:25" s="368" customFormat="1" ht="12.75" customHeight="1" x14ac:dyDescent="0.25">
      <c r="B4" s="428"/>
      <c r="C4" s="369"/>
      <c r="D4" s="370"/>
      <c r="E4" s="370"/>
      <c r="F4" s="370"/>
      <c r="G4" s="464" t="str">
        <f>'P&amp;L'!H3</f>
        <v>[COMPANY TICKER]</v>
      </c>
      <c r="H4" s="464"/>
      <c r="I4" s="464"/>
      <c r="J4" s="370"/>
      <c r="K4" s="370"/>
      <c r="L4" s="370"/>
      <c r="M4" s="370"/>
      <c r="N4" s="370"/>
      <c r="O4" s="371" t="s">
        <v>129</v>
      </c>
      <c r="P4" s="372" t="e">
        <f ca="1">IF($C$35&lt;&gt;"",$C$35,"")</f>
        <v>#DIV/0!</v>
      </c>
    </row>
    <row r="5" spans="1:25" ht="12.75" customHeight="1" thickBot="1" x14ac:dyDescent="0.3">
      <c r="B5" s="69"/>
      <c r="C5" s="70"/>
      <c r="D5" s="70"/>
      <c r="E5" s="70"/>
      <c r="F5" s="70"/>
      <c r="G5" s="465"/>
      <c r="H5" s="465"/>
      <c r="I5" s="465"/>
      <c r="J5" s="70"/>
      <c r="K5" s="70"/>
      <c r="L5" s="70"/>
      <c r="M5" s="429" t="s">
        <v>89</v>
      </c>
      <c r="N5" s="429"/>
      <c r="O5" s="430"/>
      <c r="P5" s="121" t="e">
        <f ca="1">IF(G30&lt;&gt;"",G30,"")</f>
        <v>#DIV/0!</v>
      </c>
    </row>
    <row r="6" spans="1:25" ht="6.75" customHeight="1" thickBot="1" x14ac:dyDescent="0.3"/>
    <row r="7" spans="1:25" ht="15.75" thickBot="1" x14ac:dyDescent="0.3">
      <c r="B7" s="79" t="s">
        <v>81</v>
      </c>
      <c r="C7" s="438">
        <f ca="1">YEAR(TODAY())-1</f>
        <v>2024</v>
      </c>
      <c r="D7" s="439"/>
      <c r="E7" s="61">
        <f ca="1">C7+1</f>
        <v>2025</v>
      </c>
      <c r="F7" s="61">
        <f t="shared" ref="F7:O7" ca="1" si="0">E7+1</f>
        <v>2026</v>
      </c>
      <c r="G7" s="61">
        <f t="shared" ca="1" si="0"/>
        <v>2027</v>
      </c>
      <c r="H7" s="61">
        <f t="shared" ca="1" si="0"/>
        <v>2028</v>
      </c>
      <c r="I7" s="61">
        <f t="shared" ca="1" si="0"/>
        <v>2029</v>
      </c>
      <c r="J7" s="61">
        <f t="shared" ca="1" si="0"/>
        <v>2030</v>
      </c>
      <c r="K7" s="61">
        <f t="shared" ca="1" si="0"/>
        <v>2031</v>
      </c>
      <c r="L7" s="61">
        <f t="shared" ca="1" si="0"/>
        <v>2032</v>
      </c>
      <c r="M7" s="61">
        <f t="shared" ca="1" si="0"/>
        <v>2033</v>
      </c>
      <c r="N7" s="61">
        <f t="shared" ca="1" si="0"/>
        <v>2034</v>
      </c>
      <c r="O7" s="61">
        <f t="shared" ca="1" si="0"/>
        <v>2035</v>
      </c>
      <c r="P7" s="62" t="s">
        <v>85</v>
      </c>
    </row>
    <row r="8" spans="1:25" s="368" customFormat="1" x14ac:dyDescent="0.25">
      <c r="B8" s="373" t="s">
        <v>28</v>
      </c>
      <c r="C8" s="458">
        <f>'P&amp;L'!J6</f>
        <v>0</v>
      </c>
      <c r="D8" s="459"/>
      <c r="E8" s="374">
        <f>'P&amp;L'!O6</f>
        <v>0</v>
      </c>
      <c r="F8" s="374">
        <f>'P&amp;L'!P6</f>
        <v>0</v>
      </c>
      <c r="G8" s="374">
        <f>'P&amp;L'!Q6</f>
        <v>0</v>
      </c>
      <c r="H8" s="374">
        <f>G8*(1+H9)</f>
        <v>0</v>
      </c>
      <c r="I8" s="374">
        <f t="shared" ref="I8:O8" si="1">H8*(1+I9)</f>
        <v>0</v>
      </c>
      <c r="J8" s="374">
        <f t="shared" si="1"/>
        <v>0</v>
      </c>
      <c r="K8" s="374">
        <f t="shared" si="1"/>
        <v>0</v>
      </c>
      <c r="L8" s="374">
        <f t="shared" si="1"/>
        <v>0</v>
      </c>
      <c r="M8" s="374">
        <f t="shared" si="1"/>
        <v>0</v>
      </c>
      <c r="N8" s="374">
        <f t="shared" si="1"/>
        <v>0</v>
      </c>
      <c r="O8" s="374">
        <f t="shared" si="1"/>
        <v>0</v>
      </c>
      <c r="P8" s="375"/>
    </row>
    <row r="9" spans="1:25" x14ac:dyDescent="0.25">
      <c r="B9" s="90" t="s">
        <v>29</v>
      </c>
      <c r="C9" s="456" t="e">
        <f>'P&amp;L'!J7</f>
        <v>#DIV/0!</v>
      </c>
      <c r="D9" s="457"/>
      <c r="E9" s="92" t="e">
        <f>'P&amp;L'!O7</f>
        <v>#DIV/0!</v>
      </c>
      <c r="F9" s="92" t="e">
        <f>'P&amp;L'!P7</f>
        <v>#DIV/0!</v>
      </c>
      <c r="G9" s="92" t="e">
        <f>'P&amp;L'!Q7</f>
        <v>#DIV/0!</v>
      </c>
      <c r="H9" s="93"/>
      <c r="I9" s="93"/>
      <c r="J9" s="93"/>
      <c r="K9" s="93"/>
      <c r="L9" s="93"/>
      <c r="M9" s="93"/>
      <c r="N9" s="93"/>
      <c r="O9" s="93"/>
      <c r="P9" s="87"/>
    </row>
    <row r="10" spans="1:25" x14ac:dyDescent="0.25">
      <c r="B10" s="90" t="s">
        <v>30</v>
      </c>
      <c r="C10" s="454" t="e">
        <f>'P&amp;L'!J36</f>
        <v>#DIV/0!</v>
      </c>
      <c r="D10" s="455"/>
      <c r="E10" s="91" t="e">
        <f>'P&amp;L'!O36</f>
        <v>#DIV/0!</v>
      </c>
      <c r="F10" s="91" t="e">
        <f>'P&amp;L'!P36</f>
        <v>#DIV/0!</v>
      </c>
      <c r="G10" s="91" t="e">
        <f>'P&amp;L'!Q36</f>
        <v>#DIV/0!</v>
      </c>
      <c r="H10" s="91" t="e">
        <f>G10</f>
        <v>#DIV/0!</v>
      </c>
      <c r="I10" s="91" t="e">
        <f t="shared" ref="I10:O10" si="2">H10</f>
        <v>#DIV/0!</v>
      </c>
      <c r="J10" s="91" t="e">
        <f t="shared" si="2"/>
        <v>#DIV/0!</v>
      </c>
      <c r="K10" s="91" t="e">
        <f t="shared" si="2"/>
        <v>#DIV/0!</v>
      </c>
      <c r="L10" s="91" t="e">
        <f t="shared" si="2"/>
        <v>#DIV/0!</v>
      </c>
      <c r="M10" s="91" t="e">
        <f t="shared" si="2"/>
        <v>#DIV/0!</v>
      </c>
      <c r="N10" s="91" t="e">
        <f t="shared" si="2"/>
        <v>#DIV/0!</v>
      </c>
      <c r="O10" s="91" t="e">
        <f t="shared" si="2"/>
        <v>#DIV/0!</v>
      </c>
      <c r="P10" s="87"/>
    </row>
    <row r="11" spans="1:25" s="368" customFormat="1" x14ac:dyDescent="0.25">
      <c r="B11" s="376" t="s">
        <v>31</v>
      </c>
      <c r="C11" s="452">
        <f>'P&amp;L'!J24</f>
        <v>0</v>
      </c>
      <c r="D11" s="453"/>
      <c r="E11" s="377">
        <f>'P&amp;L'!O24</f>
        <v>0</v>
      </c>
      <c r="F11" s="377">
        <f>'P&amp;L'!P24</f>
        <v>0</v>
      </c>
      <c r="G11" s="377">
        <f>'P&amp;L'!Q24</f>
        <v>0</v>
      </c>
      <c r="H11" s="377">
        <f>H8*H12</f>
        <v>0</v>
      </c>
      <c r="I11" s="377">
        <f t="shared" ref="I11:O11" si="3">I8*I12</f>
        <v>0</v>
      </c>
      <c r="J11" s="377">
        <f t="shared" si="3"/>
        <v>0</v>
      </c>
      <c r="K11" s="377">
        <f t="shared" si="3"/>
        <v>0</v>
      </c>
      <c r="L11" s="377">
        <f t="shared" si="3"/>
        <v>0</v>
      </c>
      <c r="M11" s="377">
        <f t="shared" si="3"/>
        <v>0</v>
      </c>
      <c r="N11" s="377">
        <f t="shared" si="3"/>
        <v>0</v>
      </c>
      <c r="O11" s="377">
        <f t="shared" si="3"/>
        <v>0</v>
      </c>
      <c r="P11" s="378"/>
    </row>
    <row r="12" spans="1:25" x14ac:dyDescent="0.25">
      <c r="B12" s="90" t="s">
        <v>32</v>
      </c>
      <c r="C12" s="450" t="e">
        <f>C11/C8</f>
        <v>#DIV/0!</v>
      </c>
      <c r="D12" s="451"/>
      <c r="E12" s="89" t="e">
        <f t="shared" ref="E12:G12" si="4">E11/E8</f>
        <v>#DIV/0!</v>
      </c>
      <c r="F12" s="89" t="e">
        <f t="shared" si="4"/>
        <v>#DIV/0!</v>
      </c>
      <c r="G12" s="89" t="e">
        <f t="shared" si="4"/>
        <v>#DIV/0!</v>
      </c>
      <c r="H12" s="94"/>
      <c r="I12" s="94"/>
      <c r="J12" s="94"/>
      <c r="K12" s="94"/>
      <c r="L12" s="94"/>
      <c r="M12" s="94"/>
      <c r="N12" s="94"/>
      <c r="O12" s="94"/>
      <c r="P12" s="87"/>
    </row>
    <row r="13" spans="1:25" s="379" customFormat="1" ht="15" customHeight="1" x14ac:dyDescent="0.25">
      <c r="B13" s="380" t="s">
        <v>41</v>
      </c>
      <c r="C13" s="448" t="e">
        <f>IF(C11&gt;0,C11*(1-C10),C11*(1+C10))</f>
        <v>#DIV/0!</v>
      </c>
      <c r="D13" s="449"/>
      <c r="E13" s="381" t="e">
        <f t="shared" ref="E13:O13" si="5">IF(E11&gt;0,E11*(1-E10),E11*(1+E10))</f>
        <v>#DIV/0!</v>
      </c>
      <c r="F13" s="381" t="e">
        <f t="shared" si="5"/>
        <v>#DIV/0!</v>
      </c>
      <c r="G13" s="381" t="e">
        <f t="shared" si="5"/>
        <v>#DIV/0!</v>
      </c>
      <c r="H13" s="381" t="e">
        <f t="shared" si="5"/>
        <v>#DIV/0!</v>
      </c>
      <c r="I13" s="381" t="e">
        <f t="shared" si="5"/>
        <v>#DIV/0!</v>
      </c>
      <c r="J13" s="381" t="e">
        <f t="shared" si="5"/>
        <v>#DIV/0!</v>
      </c>
      <c r="K13" s="381" t="e">
        <f t="shared" si="5"/>
        <v>#DIV/0!</v>
      </c>
      <c r="L13" s="381" t="e">
        <f t="shared" si="5"/>
        <v>#DIV/0!</v>
      </c>
      <c r="M13" s="381" t="e">
        <f t="shared" si="5"/>
        <v>#DIV/0!</v>
      </c>
      <c r="N13" s="381" t="e">
        <f t="shared" si="5"/>
        <v>#DIV/0!</v>
      </c>
      <c r="O13" s="381" t="e">
        <f t="shared" si="5"/>
        <v>#DIV/0!</v>
      </c>
      <c r="P13" s="382"/>
    </row>
    <row r="14" spans="1:25" s="368" customFormat="1" x14ac:dyDescent="0.25">
      <c r="A14" s="431" t="s">
        <v>84</v>
      </c>
      <c r="B14" s="376" t="s">
        <v>37</v>
      </c>
      <c r="C14" s="446"/>
      <c r="D14" s="447"/>
      <c r="E14" s="383"/>
      <c r="F14" s="384"/>
      <c r="G14" s="384"/>
      <c r="H14" s="384"/>
      <c r="I14" s="384"/>
      <c r="J14" s="384"/>
      <c r="K14" s="384"/>
      <c r="L14" s="384"/>
      <c r="M14" s="384"/>
      <c r="N14" s="384"/>
      <c r="O14" s="384"/>
      <c r="P14" s="378"/>
    </row>
    <row r="15" spans="1:25" s="368" customFormat="1" x14ac:dyDescent="0.25">
      <c r="A15" s="431"/>
      <c r="B15" s="376" t="s">
        <v>38</v>
      </c>
      <c r="C15" s="446"/>
      <c r="D15" s="447"/>
      <c r="E15" s="383"/>
      <c r="F15" s="384"/>
      <c r="G15" s="384"/>
      <c r="H15" s="384"/>
      <c r="I15" s="384"/>
      <c r="J15" s="384"/>
      <c r="K15" s="384"/>
      <c r="L15" s="384"/>
      <c r="M15" s="384"/>
      <c r="N15" s="384"/>
      <c r="O15" s="384"/>
      <c r="P15" s="378"/>
    </row>
    <row r="16" spans="1:25" x14ac:dyDescent="0.25">
      <c r="A16" s="431"/>
      <c r="B16" s="88" t="s">
        <v>35</v>
      </c>
      <c r="C16" s="444" t="e">
        <f>C15/C8</f>
        <v>#DIV/0!</v>
      </c>
      <c r="D16" s="445"/>
      <c r="E16" s="89" t="e">
        <f t="shared" ref="E16:O16" si="6">E15/E8</f>
        <v>#DIV/0!</v>
      </c>
      <c r="F16" s="89" t="e">
        <f t="shared" si="6"/>
        <v>#DIV/0!</v>
      </c>
      <c r="G16" s="89" t="e">
        <f t="shared" si="6"/>
        <v>#DIV/0!</v>
      </c>
      <c r="H16" s="89" t="e">
        <f t="shared" si="6"/>
        <v>#DIV/0!</v>
      </c>
      <c r="I16" s="89" t="e">
        <f t="shared" si="6"/>
        <v>#DIV/0!</v>
      </c>
      <c r="J16" s="89" t="e">
        <f t="shared" si="6"/>
        <v>#DIV/0!</v>
      </c>
      <c r="K16" s="89" t="e">
        <f t="shared" si="6"/>
        <v>#DIV/0!</v>
      </c>
      <c r="L16" s="89" t="e">
        <f t="shared" si="6"/>
        <v>#DIV/0!</v>
      </c>
      <c r="M16" s="89" t="e">
        <f t="shared" si="6"/>
        <v>#DIV/0!</v>
      </c>
      <c r="N16" s="89" t="e">
        <f t="shared" si="6"/>
        <v>#DIV/0!</v>
      </c>
      <c r="O16" s="89" t="e">
        <f t="shared" si="6"/>
        <v>#DIV/0!</v>
      </c>
      <c r="P16" s="87"/>
      <c r="Y16" s="130"/>
    </row>
    <row r="17" spans="1:16" s="368" customFormat="1" x14ac:dyDescent="0.25">
      <c r="A17" s="431"/>
      <c r="B17" s="376" t="s">
        <v>36</v>
      </c>
      <c r="C17" s="442"/>
      <c r="D17" s="443"/>
      <c r="E17" s="383"/>
      <c r="F17" s="384"/>
      <c r="G17" s="384"/>
      <c r="H17" s="384"/>
      <c r="I17" s="384"/>
      <c r="J17" s="384"/>
      <c r="K17" s="384"/>
      <c r="L17" s="384"/>
      <c r="M17" s="384"/>
      <c r="N17" s="384"/>
      <c r="O17" s="384"/>
      <c r="P17" s="378"/>
    </row>
    <row r="18" spans="1:16" s="368" customFormat="1" ht="15.75" thickBot="1" x14ac:dyDescent="0.3">
      <c r="B18" s="385" t="s">
        <v>39</v>
      </c>
      <c r="C18" s="440" t="e">
        <f>C13+C14-C15-C17</f>
        <v>#DIV/0!</v>
      </c>
      <c r="D18" s="441"/>
      <c r="E18" s="386" t="e">
        <f t="shared" ref="E18:O18" si="7">E13+E14-E15-E17</f>
        <v>#DIV/0!</v>
      </c>
      <c r="F18" s="386" t="e">
        <f t="shared" si="7"/>
        <v>#DIV/0!</v>
      </c>
      <c r="G18" s="386" t="e">
        <f t="shared" si="7"/>
        <v>#DIV/0!</v>
      </c>
      <c r="H18" s="386" t="e">
        <f t="shared" si="7"/>
        <v>#DIV/0!</v>
      </c>
      <c r="I18" s="386" t="e">
        <f t="shared" si="7"/>
        <v>#DIV/0!</v>
      </c>
      <c r="J18" s="386" t="e">
        <f t="shared" si="7"/>
        <v>#DIV/0!</v>
      </c>
      <c r="K18" s="386" t="e">
        <f t="shared" si="7"/>
        <v>#DIV/0!</v>
      </c>
      <c r="L18" s="386" t="e">
        <f t="shared" si="7"/>
        <v>#DIV/0!</v>
      </c>
      <c r="M18" s="386" t="e">
        <f t="shared" si="7"/>
        <v>#DIV/0!</v>
      </c>
      <c r="N18" s="386" t="e">
        <f t="shared" si="7"/>
        <v>#DIV/0!</v>
      </c>
      <c r="O18" s="386" t="e">
        <f t="shared" si="7"/>
        <v>#DIV/0!</v>
      </c>
      <c r="P18" s="387" t="e">
        <f>O18/N18*O18</f>
        <v>#DIV/0!</v>
      </c>
    </row>
    <row r="19" spans="1:16" s="129" customFormat="1" x14ac:dyDescent="0.25"/>
    <row r="20" spans="1:16" ht="15.75" thickBot="1" x14ac:dyDescent="0.3"/>
    <row r="21" spans="1:16" ht="15.75" thickBot="1" x14ac:dyDescent="0.3">
      <c r="B21" s="432" t="s">
        <v>83</v>
      </c>
      <c r="C21" s="433"/>
      <c r="E21" s="59" t="s">
        <v>62</v>
      </c>
      <c r="F21" s="60">
        <f ca="1">IF(E7=$P$2,1,IF(E7&lt;$P$2,0,1))</f>
        <v>1</v>
      </c>
      <c r="G21" s="61">
        <f ca="1">IF(F7=$P$2,1,IF(F7&lt;$P$2,0,F21+1))</f>
        <v>2</v>
      </c>
      <c r="H21" s="61">
        <f t="shared" ref="H21:O21" ca="1" si="8">IF(G7=$P$2,1,IF(G7&lt;$P$2,0,G21+1))</f>
        <v>3</v>
      </c>
      <c r="I21" s="61">
        <f t="shared" ca="1" si="8"/>
        <v>4</v>
      </c>
      <c r="J21" s="61">
        <f t="shared" ca="1" si="8"/>
        <v>5</v>
      </c>
      <c r="K21" s="61">
        <f t="shared" ca="1" si="8"/>
        <v>6</v>
      </c>
      <c r="L21" s="61">
        <f t="shared" ca="1" si="8"/>
        <v>7</v>
      </c>
      <c r="M21" s="61">
        <f t="shared" ca="1" si="8"/>
        <v>8</v>
      </c>
      <c r="N21" s="61">
        <f t="shared" ca="1" si="8"/>
        <v>9</v>
      </c>
      <c r="O21" s="63">
        <f t="shared" ca="1" si="8"/>
        <v>10</v>
      </c>
      <c r="P21" s="65"/>
    </row>
    <row r="22" spans="1:16" x14ac:dyDescent="0.25">
      <c r="B22" s="82" t="s">
        <v>63</v>
      </c>
      <c r="C22" s="117"/>
      <c r="E22" s="114" t="s">
        <v>56</v>
      </c>
      <c r="F22" s="315" t="e">
        <f ca="1">(1+$L$36)^IF(F21&lt;0,0,F21)</f>
        <v>#DIV/0!</v>
      </c>
      <c r="G22" s="315" t="e">
        <f t="shared" ref="G22:O22" ca="1" si="9">(1+$L$36)^IF(G21&lt;0,0,G21)</f>
        <v>#DIV/0!</v>
      </c>
      <c r="H22" s="315" t="e">
        <f t="shared" ca="1" si="9"/>
        <v>#DIV/0!</v>
      </c>
      <c r="I22" s="315" t="e">
        <f t="shared" ca="1" si="9"/>
        <v>#DIV/0!</v>
      </c>
      <c r="J22" s="315" t="e">
        <f t="shared" ca="1" si="9"/>
        <v>#DIV/0!</v>
      </c>
      <c r="K22" s="315" t="e">
        <f t="shared" ca="1" si="9"/>
        <v>#DIV/0!</v>
      </c>
      <c r="L22" s="315" t="e">
        <f t="shared" ca="1" si="9"/>
        <v>#DIV/0!</v>
      </c>
      <c r="M22" s="315" t="e">
        <f t="shared" ca="1" si="9"/>
        <v>#DIV/0!</v>
      </c>
      <c r="N22" s="315" t="e">
        <f t="shared" ca="1" si="9"/>
        <v>#DIV/0!</v>
      </c>
      <c r="O22" s="315" t="e">
        <f t="shared" ca="1" si="9"/>
        <v>#DIV/0!</v>
      </c>
      <c r="P22" s="115" t="e">
        <f ca="1">(1+$L$36)^(O7-$E$7+1)</f>
        <v>#DIV/0!</v>
      </c>
    </row>
    <row r="23" spans="1:16" ht="15.75" thickBot="1" x14ac:dyDescent="0.3">
      <c r="B23" s="82" t="s">
        <v>64</v>
      </c>
      <c r="C23" s="388" t="e">
        <f>P18*(1+C22)</f>
        <v>#DIV/0!</v>
      </c>
      <c r="E23" s="116" t="s">
        <v>57</v>
      </c>
      <c r="F23" s="392" t="e">
        <f t="shared" ref="F23:O23" ca="1" si="10">F18/F22</f>
        <v>#DIV/0!</v>
      </c>
      <c r="G23" s="392" t="e">
        <f t="shared" ca="1" si="10"/>
        <v>#DIV/0!</v>
      </c>
      <c r="H23" s="392" t="e">
        <f t="shared" ca="1" si="10"/>
        <v>#DIV/0!</v>
      </c>
      <c r="I23" s="392" t="e">
        <f t="shared" ca="1" si="10"/>
        <v>#DIV/0!</v>
      </c>
      <c r="J23" s="392" t="e">
        <f t="shared" ca="1" si="10"/>
        <v>#DIV/0!</v>
      </c>
      <c r="K23" s="392" t="e">
        <f t="shared" ca="1" si="10"/>
        <v>#DIV/0!</v>
      </c>
      <c r="L23" s="392" t="e">
        <f t="shared" ca="1" si="10"/>
        <v>#DIV/0!</v>
      </c>
      <c r="M23" s="392" t="e">
        <f t="shared" ca="1" si="10"/>
        <v>#DIV/0!</v>
      </c>
      <c r="N23" s="392" t="e">
        <f t="shared" ca="1" si="10"/>
        <v>#DIV/0!</v>
      </c>
      <c r="O23" s="392" t="e">
        <f t="shared" ca="1" si="10"/>
        <v>#DIV/0!</v>
      </c>
      <c r="P23" s="116"/>
    </row>
    <row r="24" spans="1:16" ht="15.75" thickBot="1" x14ac:dyDescent="0.3">
      <c r="B24" s="82" t="s">
        <v>66</v>
      </c>
      <c r="C24" s="388" t="e">
        <f ca="1">C23/(L36-C22)</f>
        <v>#DIV/0!</v>
      </c>
    </row>
    <row r="25" spans="1:16" ht="15.75" customHeight="1" thickBot="1" x14ac:dyDescent="0.3">
      <c r="B25" s="82" t="s">
        <v>65</v>
      </c>
      <c r="C25" s="388" t="e">
        <f ca="1">C24/P22</f>
        <v>#DIV/0!</v>
      </c>
      <c r="E25" s="64" t="s">
        <v>58</v>
      </c>
      <c r="F25" s="403" t="e">
        <f ca="1">SUM(F23:O23)</f>
        <v>#DIV/0!</v>
      </c>
      <c r="J25" s="60" t="s">
        <v>82</v>
      </c>
      <c r="K25" s="60"/>
      <c r="L25" s="60" t="s">
        <v>61</v>
      </c>
      <c r="M25" s="119" t="s">
        <v>59</v>
      </c>
      <c r="N25" s="58" t="s">
        <v>60</v>
      </c>
    </row>
    <row r="26" spans="1:16" ht="15.75" thickBot="1" x14ac:dyDescent="0.3">
      <c r="B26" s="82"/>
      <c r="C26" s="84"/>
      <c r="J26" s="434" t="s">
        <v>44</v>
      </c>
      <c r="K26" s="435"/>
      <c r="L26" s="393" t="str">
        <f t="shared" ref="L26:L35" ca="1" si="11">IF(N26&lt;&gt;"...",N26,IF(M26&lt;&gt;"",M26,""))</f>
        <v/>
      </c>
      <c r="M26" s="394"/>
      <c r="N26" s="401" t="str" cm="1">
        <f t="array" aca="1" ref="N26" ca="1">IFERROR(_xll.BDP($G$4,"CUR_MKT_CAP")/1000000,"...")</f>
        <v>...</v>
      </c>
      <c r="O26" s="80" t="s">
        <v>79</v>
      </c>
    </row>
    <row r="27" spans="1:16" ht="15.75" thickBot="1" x14ac:dyDescent="0.3">
      <c r="B27" s="85" t="s">
        <v>68</v>
      </c>
      <c r="C27" s="389" t="e">
        <f ca="1">C25+F25</f>
        <v>#DIV/0!</v>
      </c>
      <c r="D27" s="123"/>
      <c r="F27" s="60" t="s">
        <v>61</v>
      </c>
      <c r="G27" s="119" t="s">
        <v>59</v>
      </c>
      <c r="H27" s="58" t="s">
        <v>60</v>
      </c>
      <c r="J27" s="434" t="s">
        <v>43</v>
      </c>
      <c r="K27" s="435"/>
      <c r="L27" s="395" t="str">
        <f ca="1">IF(N27&lt;&gt;"...",N27,IF(M27&lt;&gt;"",M27,""))</f>
        <v/>
      </c>
      <c r="M27" s="396"/>
      <c r="N27" s="402" t="str" cm="1">
        <f t="array" aca="1" ref="N27" ca="1">IFERROR(-_xll.BDP($G$4,"Net_Debt"),"...")</f>
        <v>...</v>
      </c>
      <c r="O27" s="80" t="s">
        <v>50</v>
      </c>
    </row>
    <row r="28" spans="1:16" ht="15.75" thickBot="1" x14ac:dyDescent="0.3">
      <c r="B28" s="82" t="s">
        <v>67</v>
      </c>
      <c r="C28" s="86" t="e">
        <f ca="1">C25/C27</f>
        <v>#DIV/0!</v>
      </c>
      <c r="D28" s="128"/>
      <c r="E28" s="60" t="s">
        <v>75</v>
      </c>
      <c r="F28" s="398" t="str">
        <f ca="1">IF(H28&lt;&gt;"...",H28,IF(G28&lt;&gt;"",G28,""))</f>
        <v/>
      </c>
      <c r="G28" s="399"/>
      <c r="H28" s="400" t="str" cm="1">
        <f t="array" aca="1" ref="H28" ca="1">IFERROR(BDP(G4,"PX_LAST"),"...")</f>
        <v>...</v>
      </c>
      <c r="J28" s="434" t="s">
        <v>86</v>
      </c>
      <c r="K28" s="435"/>
      <c r="L28" s="395">
        <f t="shared" ca="1" si="11"/>
        <v>0</v>
      </c>
      <c r="M28" s="397">
        <f>M26+M27</f>
        <v>0</v>
      </c>
      <c r="N28" s="402" t="str">
        <f ca="1">IFERROR(N26+N27,"...")</f>
        <v>...</v>
      </c>
      <c r="O28" s="80"/>
    </row>
    <row r="29" spans="1:16" ht="15.75" thickBot="1" x14ac:dyDescent="0.3">
      <c r="B29" s="82"/>
      <c r="C29" s="84"/>
      <c r="D29" s="125"/>
      <c r="J29" s="436" t="s">
        <v>87</v>
      </c>
      <c r="K29" s="437"/>
      <c r="L29" s="109" t="e">
        <f>IF(M29&lt;&gt;"...",M29,IF(N29&lt;&gt;"",N29,""))</f>
        <v>#DIV/0!</v>
      </c>
      <c r="M29" s="110" t="e">
        <f>M26/M28</f>
        <v>#DIV/0!</v>
      </c>
      <c r="N29" s="76" t="str" cm="1">
        <f t="array" aca="1" ref="N29" ca="1">IFERROR(_xll.BDP($G$4,"WACC_WEIGHT_OF_EQUITY")/100,"…")</f>
        <v>…</v>
      </c>
      <c r="O29" s="80"/>
    </row>
    <row r="30" spans="1:16" ht="15.75" thickBot="1" x14ac:dyDescent="0.3">
      <c r="A30" s="431" t="s">
        <v>40</v>
      </c>
      <c r="B30" s="82" t="s">
        <v>69</v>
      </c>
      <c r="C30" s="390"/>
      <c r="E30" s="432" t="s">
        <v>76</v>
      </c>
      <c r="F30" s="463"/>
      <c r="G30" s="118" t="e">
        <f ca="1">C35/F28-1</f>
        <v>#DIV/0!</v>
      </c>
      <c r="J30" s="436" t="s">
        <v>88</v>
      </c>
      <c r="K30" s="437"/>
      <c r="L30" s="109" t="e">
        <f>IF(M30&lt;&gt;"...",M30,IF(N30&lt;&gt;"",N30,""))</f>
        <v>#DIV/0!</v>
      </c>
      <c r="M30" s="110" t="e">
        <f>M27/M28</f>
        <v>#DIV/0!</v>
      </c>
      <c r="N30" s="76" t="str" cm="1">
        <f t="array" aca="1" ref="N30" ca="1">IFERROR(_xll.BDP($G$4,"WACC_WEIGHT_OF_DEBT")/100,"…")</f>
        <v>…</v>
      </c>
      <c r="O30" s="81"/>
    </row>
    <row r="31" spans="1:16" ht="15.75" thickBot="1" x14ac:dyDescent="0.3">
      <c r="A31" s="431"/>
      <c r="B31" s="82" t="s">
        <v>70</v>
      </c>
      <c r="C31" s="390"/>
      <c r="D31" s="127"/>
      <c r="J31" s="434" t="s">
        <v>45</v>
      </c>
      <c r="K31" s="435"/>
      <c r="L31" s="107" t="str">
        <f t="shared" ca="1" si="11"/>
        <v/>
      </c>
      <c r="M31" s="111"/>
      <c r="N31" s="75" t="str" cm="1">
        <f t="array" aca="1" ref="N31" ca="1">IFERROR(_xll.BDP("GT 10 Govt","YAS_Bond_YLD")/100,"...")</f>
        <v>...</v>
      </c>
      <c r="O31" s="80" t="s">
        <v>51</v>
      </c>
    </row>
    <row r="32" spans="1:16" ht="15.75" thickBot="1" x14ac:dyDescent="0.3">
      <c r="A32" s="431"/>
      <c r="B32" s="82" t="s">
        <v>71</v>
      </c>
      <c r="C32" s="390"/>
      <c r="D32" s="126"/>
      <c r="E32" s="59" t="s">
        <v>55</v>
      </c>
      <c r="F32" s="74" t="s">
        <v>78</v>
      </c>
      <c r="J32" s="434" t="s">
        <v>46</v>
      </c>
      <c r="K32" s="435"/>
      <c r="L32" s="107" t="str">
        <f t="shared" ca="1" si="11"/>
        <v/>
      </c>
      <c r="M32" s="111"/>
      <c r="N32" s="75" t="str" cm="1">
        <f t="array" aca="1" ref="N32" ca="1">IFERROR(_xll.BDP($G$4,"COUNTRY_RISK_PREMIUM")/100,"...")</f>
        <v>...</v>
      </c>
      <c r="O32" s="80" t="s">
        <v>52</v>
      </c>
    </row>
    <row r="33" spans="1:15" x14ac:dyDescent="0.25">
      <c r="A33" s="431"/>
      <c r="B33" s="82" t="s">
        <v>73</v>
      </c>
      <c r="C33" s="388" t="e">
        <f ca="1">C27-C30-C31-C32</f>
        <v>#DIV/0!</v>
      </c>
      <c r="E33" s="95">
        <f ca="1">YEAR(TODAY())-4</f>
        <v>2021</v>
      </c>
      <c r="F33" s="96">
        <f>'P&amp;L'!C43</f>
        <v>0</v>
      </c>
      <c r="J33" s="434" t="s">
        <v>47</v>
      </c>
      <c r="K33" s="435"/>
      <c r="L33" s="108" t="str">
        <f t="shared" ca="1" si="11"/>
        <v/>
      </c>
      <c r="M33" s="112"/>
      <c r="N33" s="78" t="str" cm="1">
        <f t="array" aca="1" ref="N33" ca="1">IFERROR(_xll.BDP($G$4,"EQY_Beta"),"...")</f>
        <v>...</v>
      </c>
      <c r="O33" s="80" t="s">
        <v>53</v>
      </c>
    </row>
    <row r="34" spans="1:15" ht="15.75" thickBot="1" x14ac:dyDescent="0.3">
      <c r="B34" s="82" t="s">
        <v>72</v>
      </c>
      <c r="C34" s="83">
        <f ca="1">_xlfn.IFNA(INDEX(F33:F39,MATCH(P2,E33:E39)),F40)</f>
        <v>0</v>
      </c>
      <c r="E34" s="97">
        <f ca="1">YEAR(TODAY())-3</f>
        <v>2022</v>
      </c>
      <c r="F34" s="98">
        <f>'P&amp;L'!D43</f>
        <v>0</v>
      </c>
      <c r="J34" s="436" t="s">
        <v>48</v>
      </c>
      <c r="K34" s="437"/>
      <c r="L34" s="105">
        <f t="shared" ca="1" si="11"/>
        <v>0</v>
      </c>
      <c r="M34" s="106">
        <f>M31+M32*M33</f>
        <v>0</v>
      </c>
      <c r="N34" s="77" t="str">
        <f ca="1">IFERROR(N31+N32*N33,"...")</f>
        <v>...</v>
      </c>
      <c r="O34" s="80"/>
    </row>
    <row r="35" spans="1:15" ht="15.75" thickBot="1" x14ac:dyDescent="0.3">
      <c r="B35" s="66" t="s">
        <v>74</v>
      </c>
      <c r="C35" s="391" t="e">
        <f ca="1">C33/C34</f>
        <v>#DIV/0!</v>
      </c>
      <c r="E35" s="97">
        <f ca="1">YEAR(TODAY())-2</f>
        <v>2023</v>
      </c>
      <c r="F35" s="98">
        <f>'P&amp;L'!E43</f>
        <v>0</v>
      </c>
      <c r="J35" s="436" t="s">
        <v>49</v>
      </c>
      <c r="K35" s="437"/>
      <c r="L35" s="104" t="str">
        <f t="shared" ca="1" si="11"/>
        <v/>
      </c>
      <c r="M35" s="113"/>
      <c r="N35" s="77" t="str" cm="1">
        <f t="array" aca="1" ref="N35" ca="1">IFERROR(_xll.BDP($G$4,"WACC_Cost_Debt")/100,"...")</f>
        <v>...</v>
      </c>
      <c r="O35" s="80" t="s">
        <v>54</v>
      </c>
    </row>
    <row r="36" spans="1:15" ht="15" customHeight="1" x14ac:dyDescent="0.25">
      <c r="E36" s="97">
        <f ca="1">YEAR(TODAY())-1</f>
        <v>2024</v>
      </c>
      <c r="F36" s="98" t="e">
        <f>'P&amp;L'!J43</f>
        <v>#DIV/0!</v>
      </c>
      <c r="J36" s="474" t="s">
        <v>42</v>
      </c>
      <c r="K36" s="475"/>
      <c r="L36" s="472" t="e">
        <f ca="1">L29*L34+L30*L35</f>
        <v>#DIV/0!</v>
      </c>
      <c r="M36" s="470" t="e">
        <f>M29*M34+M30*M35</f>
        <v>#DIV/0!</v>
      </c>
      <c r="N36" s="468" t="str">
        <f ca="1">IFERROR(N29*N34+N30*N35,"…")</f>
        <v>…</v>
      </c>
    </row>
    <row r="37" spans="1:15" ht="15.75" thickBot="1" x14ac:dyDescent="0.3">
      <c r="E37" s="99">
        <f ca="1">YEAR(TODAY())</f>
        <v>2025</v>
      </c>
      <c r="F37" s="98" t="e">
        <f>'P&amp;L'!O43</f>
        <v>#DIV/0!</v>
      </c>
      <c r="J37" s="476"/>
      <c r="K37" s="477"/>
      <c r="L37" s="473"/>
      <c r="M37" s="471"/>
      <c r="N37" s="469"/>
    </row>
    <row r="38" spans="1:15" x14ac:dyDescent="0.25">
      <c r="E38" s="99">
        <f ca="1">YEAR(TODAY())+1</f>
        <v>2026</v>
      </c>
      <c r="F38" s="98">
        <f>'P&amp;L'!P43</f>
        <v>0</v>
      </c>
    </row>
    <row r="39" spans="1:15" x14ac:dyDescent="0.25">
      <c r="D39" s="125"/>
      <c r="E39" s="100">
        <f ca="1">YEAR(TODAY())+2</f>
        <v>2027</v>
      </c>
      <c r="F39" s="101">
        <f>'P&amp;L'!Q43</f>
        <v>0</v>
      </c>
    </row>
    <row r="40" spans="1:15" x14ac:dyDescent="0.25">
      <c r="E40" s="102" t="str">
        <f ca="1">IF(ISNUMBER(MATCH(P2,E33:E39,)),"Other",IF($P$2=0,"Other",$P$2))</f>
        <v>Other</v>
      </c>
      <c r="F40" s="103"/>
      <c r="M40" s="460"/>
      <c r="N40" s="460"/>
    </row>
  </sheetData>
  <mergeCells count="36">
    <mergeCell ref="M40:N40"/>
    <mergeCell ref="N2:O2"/>
    <mergeCell ref="E30:F30"/>
    <mergeCell ref="G4:I5"/>
    <mergeCell ref="G2:I3"/>
    <mergeCell ref="J30:K30"/>
    <mergeCell ref="J28:K28"/>
    <mergeCell ref="J27:K27"/>
    <mergeCell ref="J26:K26"/>
    <mergeCell ref="N36:N37"/>
    <mergeCell ref="M36:M37"/>
    <mergeCell ref="L36:L37"/>
    <mergeCell ref="J36:K37"/>
    <mergeCell ref="J35:K35"/>
    <mergeCell ref="J34:K34"/>
    <mergeCell ref="C12:D12"/>
    <mergeCell ref="C11:D11"/>
    <mergeCell ref="C10:D10"/>
    <mergeCell ref="C9:D9"/>
    <mergeCell ref="C8:D8"/>
    <mergeCell ref="B3:B4"/>
    <mergeCell ref="M5:O5"/>
    <mergeCell ref="A30:A33"/>
    <mergeCell ref="A14:A17"/>
    <mergeCell ref="B21:C21"/>
    <mergeCell ref="J31:K31"/>
    <mergeCell ref="J29:K29"/>
    <mergeCell ref="J33:K33"/>
    <mergeCell ref="J32:K32"/>
    <mergeCell ref="C7:D7"/>
    <mergeCell ref="C18:D18"/>
    <mergeCell ref="C17:D17"/>
    <mergeCell ref="C16:D16"/>
    <mergeCell ref="C15:D15"/>
    <mergeCell ref="C14:D14"/>
    <mergeCell ref="C13:D13"/>
  </mergeCells>
  <conditionalFormatting sqref="N26:N35">
    <cfRule type="expression" dxfId="11" priority="4">
      <formula>N26="…"</formula>
    </cfRule>
  </conditionalFormatting>
  <conditionalFormatting sqref="H28">
    <cfRule type="expression" dxfId="10" priority="3">
      <formula>H28="…"</formula>
    </cfRule>
  </conditionalFormatting>
  <conditionalFormatting sqref="F40">
    <cfRule type="expression" dxfId="9" priority="1">
      <formula>$E$40&lt;&gt;"Other"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8F326-9C88-47C2-8293-DC69D3D736EA}">
  <sheetPr codeName="Sheet3">
    <tabColor rgb="FFF62020"/>
  </sheetPr>
  <dimension ref="A1:Q81"/>
  <sheetViews>
    <sheetView showGridLines="0" zoomScale="125" zoomScaleNormal="125" workbookViewId="0">
      <pane ySplit="9" topLeftCell="A10" activePane="bottomLeft" state="frozen"/>
      <selection pane="bottomLeft"/>
    </sheetView>
  </sheetViews>
  <sheetFormatPr defaultColWidth="0" defaultRowHeight="15" x14ac:dyDescent="0.25"/>
  <cols>
    <col min="1" max="1" width="1.7109375" style="140" customWidth="1"/>
    <col min="2" max="2" width="2.42578125" style="140" customWidth="1"/>
    <col min="3" max="3" width="14.85546875" style="140" customWidth="1"/>
    <col min="4" max="4" width="28.28515625" style="140" customWidth="1"/>
    <col min="5" max="5" width="12.28515625" style="140" customWidth="1"/>
    <col min="6" max="6" width="16" style="140" customWidth="1"/>
    <col min="7" max="7" width="14" style="140" customWidth="1"/>
    <col min="8" max="8" width="1" style="140" customWidth="1"/>
    <col min="9" max="9" width="15" style="140" customWidth="1"/>
    <col min="10" max="10" width="15.28515625" style="140" customWidth="1"/>
    <col min="11" max="11" width="15.42578125" style="140" customWidth="1"/>
    <col min="12" max="12" width="15.85546875" style="140" customWidth="1"/>
    <col min="13" max="13" width="18.85546875" style="140" customWidth="1"/>
    <col min="14" max="14" width="14.28515625" style="140" customWidth="1"/>
    <col min="15" max="15" width="12" style="140" customWidth="1"/>
    <col min="16" max="16" width="12.140625" style="140" customWidth="1"/>
    <col min="17" max="17" width="2.85546875" style="140" customWidth="1"/>
    <col min="18" max="16384" width="11.7109375" style="140" hidden="1"/>
  </cols>
  <sheetData>
    <row r="1" spans="2:16" ht="10.5" customHeight="1" thickBot="1" x14ac:dyDescent="0.3">
      <c r="C1" s="190"/>
      <c r="D1" s="190"/>
    </row>
    <row r="2" spans="2:16" ht="7.5" customHeight="1" x14ac:dyDescent="0.25">
      <c r="C2" s="144"/>
      <c r="D2" s="145"/>
      <c r="E2" s="145"/>
      <c r="F2" s="478" t="s">
        <v>111</v>
      </c>
      <c r="G2" s="478"/>
      <c r="H2" s="478"/>
      <c r="I2" s="478"/>
      <c r="J2" s="478"/>
      <c r="K2" s="478"/>
      <c r="L2" s="478"/>
      <c r="M2" s="234"/>
      <c r="N2" s="234"/>
      <c r="O2" s="234"/>
      <c r="P2" s="233"/>
    </row>
    <row r="3" spans="2:16" ht="11.25" customHeight="1" x14ac:dyDescent="0.25">
      <c r="C3" s="181"/>
      <c r="D3" s="143"/>
      <c r="E3" s="143"/>
      <c r="F3" s="479"/>
      <c r="G3" s="479"/>
      <c r="H3" s="479"/>
      <c r="I3" s="479"/>
      <c r="J3" s="479"/>
      <c r="K3" s="479"/>
      <c r="L3" s="479"/>
      <c r="M3" s="235"/>
      <c r="N3" s="235"/>
      <c r="O3" s="238" t="s">
        <v>116</v>
      </c>
      <c r="P3" s="239" t="str">
        <f>IFERROR($E$62,"…")</f>
        <v>…</v>
      </c>
    </row>
    <row r="4" spans="2:16" ht="13.5" customHeight="1" x14ac:dyDescent="0.25">
      <c r="C4" s="181"/>
      <c r="D4" s="143"/>
      <c r="E4" s="143"/>
      <c r="F4" s="480" t="str">
        <f>'P&amp;L'!$H$3</f>
        <v>[COMPANY TICKER]</v>
      </c>
      <c r="G4" s="480"/>
      <c r="H4" s="480"/>
      <c r="I4" s="480"/>
      <c r="J4" s="480"/>
      <c r="K4" s="480"/>
      <c r="L4" s="480"/>
      <c r="M4" s="235"/>
      <c r="N4" s="235"/>
      <c r="O4" s="237" t="s">
        <v>115</v>
      </c>
      <c r="P4" s="239" t="str">
        <f>IFERROR($E$61,"…")</f>
        <v>…</v>
      </c>
    </row>
    <row r="5" spans="2:16" ht="7.5" customHeight="1" thickBot="1" x14ac:dyDescent="0.3">
      <c r="C5" s="146"/>
      <c r="D5" s="147"/>
      <c r="E5" s="147"/>
      <c r="F5" s="481"/>
      <c r="G5" s="481"/>
      <c r="H5" s="481"/>
      <c r="I5" s="481"/>
      <c r="J5" s="481"/>
      <c r="K5" s="481"/>
      <c r="L5" s="481"/>
      <c r="M5" s="236"/>
      <c r="N5" s="236"/>
      <c r="O5" s="236"/>
      <c r="P5" s="232"/>
    </row>
    <row r="6" spans="2:16" ht="10.5" customHeight="1" thickBot="1" x14ac:dyDescent="0.3">
      <c r="C6" s="191" t="s">
        <v>117</v>
      </c>
      <c r="D6" s="191" t="s">
        <v>118</v>
      </c>
      <c r="E6" s="182"/>
      <c r="F6" s="182"/>
      <c r="G6" s="182"/>
      <c r="H6" s="183"/>
      <c r="I6" s="183"/>
      <c r="J6" s="183"/>
      <c r="K6" s="182"/>
      <c r="L6" s="182"/>
      <c r="M6" s="182"/>
      <c r="N6" s="182"/>
      <c r="O6" s="182"/>
      <c r="P6" s="182"/>
    </row>
    <row r="7" spans="2:16" ht="15" customHeight="1" thickBot="1" x14ac:dyDescent="0.3">
      <c r="C7" s="484" t="s">
        <v>112</v>
      </c>
      <c r="D7" s="487" t="s">
        <v>91</v>
      </c>
      <c r="E7" s="490" t="s">
        <v>75</v>
      </c>
      <c r="F7" s="487" t="s">
        <v>92</v>
      </c>
      <c r="G7" s="492" t="s">
        <v>93</v>
      </c>
      <c r="H7" s="154"/>
      <c r="I7" s="494" t="s">
        <v>94</v>
      </c>
      <c r="J7" s="482"/>
      <c r="K7" s="482" t="s">
        <v>95</v>
      </c>
      <c r="L7" s="482"/>
      <c r="M7" s="482" t="s">
        <v>96</v>
      </c>
      <c r="N7" s="482"/>
      <c r="O7" s="482" t="s">
        <v>97</v>
      </c>
      <c r="P7" s="483"/>
    </row>
    <row r="8" spans="2:16" ht="12" customHeight="1" thickBot="1" x14ac:dyDescent="0.3">
      <c r="C8" s="485"/>
      <c r="D8" s="488"/>
      <c r="E8" s="491"/>
      <c r="F8" s="488"/>
      <c r="G8" s="493"/>
      <c r="H8" s="155"/>
      <c r="I8" s="160">
        <f t="shared" ref="I8:O8" ca="1" si="0">YEAR(TODAY())</f>
        <v>2025</v>
      </c>
      <c r="J8" s="138">
        <f t="shared" ref="J8" ca="1" si="1">I8+1</f>
        <v>2026</v>
      </c>
      <c r="K8" s="138">
        <f t="shared" ca="1" si="0"/>
        <v>2025</v>
      </c>
      <c r="L8" s="138">
        <f t="shared" ref="L8" ca="1" si="2">K8+1</f>
        <v>2026</v>
      </c>
      <c r="M8" s="138">
        <f t="shared" ca="1" si="0"/>
        <v>2025</v>
      </c>
      <c r="N8" s="138">
        <f t="shared" ref="N8" ca="1" si="3">M8+1</f>
        <v>2026</v>
      </c>
      <c r="O8" s="138">
        <f t="shared" ca="1" si="0"/>
        <v>2025</v>
      </c>
      <c r="P8" s="139">
        <f t="shared" ref="P8" ca="1" si="4">O8+1</f>
        <v>2026</v>
      </c>
    </row>
    <row r="9" spans="2:16" s="141" customFormat="1" ht="11.25" customHeight="1" thickBot="1" x14ac:dyDescent="0.2">
      <c r="C9" s="486"/>
      <c r="D9" s="489"/>
      <c r="E9" s="196" t="s">
        <v>98</v>
      </c>
      <c r="F9" s="196" t="s">
        <v>99</v>
      </c>
      <c r="G9" s="197" t="s">
        <v>79</v>
      </c>
      <c r="H9" s="198"/>
      <c r="I9" s="199" t="s">
        <v>100</v>
      </c>
      <c r="J9" s="200" t="s">
        <v>101</v>
      </c>
      <c r="K9" s="200" t="s">
        <v>102</v>
      </c>
      <c r="L9" s="200" t="s">
        <v>103</v>
      </c>
      <c r="M9" s="200" t="s">
        <v>104</v>
      </c>
      <c r="N9" s="200" t="s">
        <v>105</v>
      </c>
      <c r="O9" s="200" t="s">
        <v>106</v>
      </c>
      <c r="P9" s="201" t="s">
        <v>107</v>
      </c>
    </row>
    <row r="10" spans="2:16" ht="15" customHeight="1" x14ac:dyDescent="0.25">
      <c r="B10" s="507" t="s">
        <v>150</v>
      </c>
      <c r="C10" s="205"/>
      <c r="D10" s="164" t="str" cm="1">
        <f t="array" ref="D10">IFERROR(IF($C10&lt;&gt;"",_xll.BDP($C10,D$7),""),"#N/A BLOOM")</f>
        <v/>
      </c>
      <c r="E10" s="165" t="str" cm="1">
        <f t="array" ref="E10">IFERROR(IF($C10&lt;&gt;"",_xll.BDP($C10,E$9),""),"#N/A BLOOM")</f>
        <v/>
      </c>
      <c r="F10" s="219" t="str" cm="1">
        <f t="array" ref="F10">IFERROR(IF($C10&lt;&gt;"",_xll.BDP($C10,F$9)/100,""),"#N/A BLOOM")</f>
        <v/>
      </c>
      <c r="G10" s="168" t="str" cm="1">
        <f t="array" ref="G10">IFERROR(IF($C10&lt;&gt;"",_xll.BDP($C10,G$9)/1000000000,""),"#N/A BLOOM")</f>
        <v/>
      </c>
      <c r="H10" s="156"/>
      <c r="I10" s="166" t="str" cm="1">
        <f t="array" ref="I10">IFERROR(IF($C10&lt;&gt;"",IF(_xll.BDP($C10,I$9)&lt;&gt;"#N/A N/A",_xll.BDP($C10,I$9),""),""),"#N/A BLOOM")</f>
        <v/>
      </c>
      <c r="J10" s="167" t="str" cm="1">
        <f t="array" ref="J10">IFERROR(IF($C10&lt;&gt;"",IF(_xll.BDP($C10,J$9)&lt;&gt;"#N/A N/A",_xll.BDP($C10,J$9),""),""),"#N/A BLOOM")</f>
        <v/>
      </c>
      <c r="K10" s="167" t="str" cm="1">
        <f t="array" ref="K10">IFERROR(IF($C10&lt;&gt;"",IF(_xll.BDP($C10,K$9)&lt;&gt;"#N/A N/A",_xll.BDP($C10,K$9),""),""),"#N/A BLOOM")</f>
        <v/>
      </c>
      <c r="L10" s="167" t="str" cm="1">
        <f t="array" ref="L10">IFERROR(IF($C10&lt;&gt;"",IF(_xll.BDP($C10,L$9)&lt;&gt;"#N/A N/A",_xll.BDP($C10,L$9),""),""),"#N/A BLOOM")</f>
        <v/>
      </c>
      <c r="M10" s="167" t="str" cm="1">
        <f t="array" ref="M10">IFERROR(IF($C10&lt;&gt;"",IF(_xll.BDP($C10,M$9)&lt;&gt;"#N/A N/A",_xll.BDP($C10,M$9),""),""),"#N/A BLOOM")</f>
        <v/>
      </c>
      <c r="N10" s="167" t="str" cm="1">
        <f t="array" ref="N10">IFERROR(IF($C10&lt;&gt;"",IF(_xll.BDP($C10,N$9)&lt;&gt;"#N/A N/A",_xll.BDP($C10,N$9),""),""),"#N/A BLOOM")</f>
        <v/>
      </c>
      <c r="O10" s="167" t="str" cm="1">
        <f t="array" ref="O10">IFERROR(IF($C10&lt;&gt;"",IF(_xll.BDP($C10,O$9)&lt;&gt;"#N/A N/A",_xll.BDP($C10,O$9),""),""),"#N/A BLOOM")</f>
        <v/>
      </c>
      <c r="P10" s="168" t="str" cm="1">
        <f t="array" ref="P10">IFERROR(IF($C10&lt;&gt;"",IF(_xll.BDP($C10,P$9)&lt;&gt;"#N/A N/A",_xll.BDP($C10,P$9),""),""),"#N/A BLOOM")</f>
        <v/>
      </c>
    </row>
    <row r="11" spans="2:16" x14ac:dyDescent="0.25">
      <c r="B11" s="508"/>
      <c r="C11" s="206"/>
      <c r="D11" s="151" t="str" cm="1">
        <f t="array" ref="D11">IFERROR(IF($C11&lt;&gt;"",_xll.BDP($C11,D$7),""),"")</f>
        <v/>
      </c>
      <c r="E11" s="149" t="str" cm="1">
        <f t="array" ref="E11">IFERROR(IF($C11&lt;&gt;"",_xll.BDP($C11,E$7),""),"")</f>
        <v/>
      </c>
      <c r="F11" s="220" t="str" cm="1">
        <f t="array" ref="F11">IFERROR(IF($C11&lt;&gt;"",_xll.BDP($C11,F$7),""),"")</f>
        <v/>
      </c>
      <c r="G11" s="150" t="str" cm="1">
        <f t="array" ref="G11">IFERROR(IF($C11&lt;&gt;"",_xll.BDP($C11,G$7),""),"")</f>
        <v/>
      </c>
      <c r="H11" s="156"/>
      <c r="I11" s="162" t="str" cm="1">
        <f t="array" ref="I11">IFERROR(IF($C11&lt;&gt;"",IF(_xll.BDP($C11,I$9)&lt;&gt;"#N/A N/A",_xll.BDP($C11,I$9),""),""),"")</f>
        <v/>
      </c>
      <c r="J11" s="149" t="str" cm="1">
        <f t="array" ref="J11">IFERROR(IF($C11&lt;&gt;"",IF(_xll.BDP($C11,J$9)&lt;&gt;"#N/A N/A",_xll.BDP($C11,J$9),""),""),"")</f>
        <v/>
      </c>
      <c r="K11" s="149" t="str" cm="1">
        <f t="array" ref="K11">IFERROR(IF($C11&lt;&gt;"",IF(_xll.BDP($C11,K$9)&lt;&gt;"#N/A N/A",_xll.BDP($C11,K$9),""),""),"")</f>
        <v/>
      </c>
      <c r="L11" s="149" t="str" cm="1">
        <f t="array" ref="L11">IFERROR(IF($C11&lt;&gt;"",IF(_xll.BDP($C11,L$9)&lt;&gt;"#N/A N/A",_xll.BDP($C11,L$9),""),""),"")</f>
        <v/>
      </c>
      <c r="M11" s="149" t="str" cm="1">
        <f t="array" ref="M11">IFERROR(IF($C11&lt;&gt;"",IF(_xll.BDP($C11,M$9)&lt;&gt;"#N/A N/A",_xll.BDP($C11,M$9),""),""),"")</f>
        <v/>
      </c>
      <c r="N11" s="149" t="str" cm="1">
        <f t="array" ref="N11">IFERROR(IF($C11&lt;&gt;"",IF(_xll.BDP($C11,N$9)&lt;&gt;"#N/A N/A",_xll.BDP($C11,N$9),""),""),"")</f>
        <v/>
      </c>
      <c r="O11" s="149" t="str" cm="1">
        <f t="array" ref="O11">IFERROR(IF($C11&lt;&gt;"",IF(_xll.BDP($C11,O$9)&lt;&gt;"#N/A N/A",_xll.BDP($C11,O$9),""),""),"")</f>
        <v/>
      </c>
      <c r="P11" s="150" t="str" cm="1">
        <f t="array" ref="P11">IFERROR(IF($C11&lt;&gt;"",IF(_xll.BDP($C11,P$9)&lt;&gt;"#N/A N/A",_xll.BDP($C11,P$9),""),""),"")</f>
        <v/>
      </c>
    </row>
    <row r="12" spans="2:16" x14ac:dyDescent="0.25">
      <c r="B12" s="508"/>
      <c r="C12" s="207"/>
      <c r="D12" s="153" t="str" cm="1">
        <f t="array" ref="D12">IFERROR(IF($C12&lt;&gt;"",_xll.BDP($C12,D$7),""),"")</f>
        <v/>
      </c>
      <c r="E12" s="148" t="str" cm="1">
        <f t="array" ref="E12">IFERROR(IF($C12&lt;&gt;"",_xll.BDP($C12,E$7),""),"")</f>
        <v/>
      </c>
      <c r="F12" s="221" t="str" cm="1">
        <f t="array" ref="F12">IFERROR(IF($C12&lt;&gt;"",_xll.BDP($C12,F$7),""),"")</f>
        <v/>
      </c>
      <c r="G12" s="152" t="str" cm="1">
        <f t="array" ref="G12">IFERROR(IF($C12&lt;&gt;"",_xll.BDP($C12,G$7),""),"")</f>
        <v/>
      </c>
      <c r="H12" s="156"/>
      <c r="I12" s="161" t="str" cm="1">
        <f t="array" ref="I12">IFERROR(IF($C12&lt;&gt;"",IF(_xll.BDP($C12,I$9)&lt;&gt;"#N/A N/A",_xll.BDP($C12,I$9),""),""),"")</f>
        <v/>
      </c>
      <c r="J12" s="148" t="str" cm="1">
        <f t="array" ref="J12">IFERROR(IF($C12&lt;&gt;"",IF(_xll.BDP($C12,J$9)&lt;&gt;"#N/A N/A",_xll.BDP($C12,J$9),""),""),"")</f>
        <v/>
      </c>
      <c r="K12" s="148" t="str" cm="1">
        <f t="array" ref="K12">IFERROR(IF($C12&lt;&gt;"",IF(_xll.BDP($C12,K$9)&lt;&gt;"#N/A N/A",_xll.BDP($C12,K$9),""),""),"")</f>
        <v/>
      </c>
      <c r="L12" s="148" t="str" cm="1">
        <f t="array" ref="L12">IFERROR(IF($C12&lt;&gt;"",IF(_xll.BDP($C12,L$9)&lt;&gt;"#N/A N/A",_xll.BDP($C12,L$9),""),""),"")</f>
        <v/>
      </c>
      <c r="M12" s="148" t="str" cm="1">
        <f t="array" ref="M12">IFERROR(IF($C12&lt;&gt;"",IF(_xll.BDP($C12,M$9)&lt;&gt;"#N/A N/A",_xll.BDP($C12,M$9),""),""),"")</f>
        <v/>
      </c>
      <c r="N12" s="148" t="str" cm="1">
        <f t="array" ref="N12">IFERROR(IF($C12&lt;&gt;"",IF(_xll.BDP($C12,N$9)&lt;&gt;"#N/A N/A",_xll.BDP($C12,N$9),""),""),"")</f>
        <v/>
      </c>
      <c r="O12" s="148" t="str" cm="1">
        <f t="array" ref="O12">IFERROR(IF($C12&lt;&gt;"",IF(_xll.BDP($C12,O$9)&lt;&gt;"#N/A N/A",_xll.BDP($C12,O$9),""),""),"")</f>
        <v/>
      </c>
      <c r="P12" s="152" t="str" cm="1">
        <f t="array" ref="P12">IFERROR(IF($C12&lt;&gt;"",IF(_xll.BDP($C12,P$9)&lt;&gt;"#N/A N/A",_xll.BDP($C12,P$9),""),""),"")</f>
        <v/>
      </c>
    </row>
    <row r="13" spans="2:16" x14ac:dyDescent="0.25">
      <c r="B13" s="508"/>
      <c r="C13" s="206"/>
      <c r="D13" s="151" t="str" cm="1">
        <f t="array" ref="D13">IFERROR(IF($C13&lt;&gt;"",_xll.BDP($C13,D$7),""),"")</f>
        <v/>
      </c>
      <c r="E13" s="149" t="str" cm="1">
        <f t="array" ref="E13">IFERROR(IF($C13&lt;&gt;"",_xll.BDP($C13,E$7),""),"")</f>
        <v/>
      </c>
      <c r="F13" s="220" t="str" cm="1">
        <f t="array" ref="F13">IFERROR(IF($C13&lt;&gt;"",_xll.BDP($C13,F$7),""),"")</f>
        <v/>
      </c>
      <c r="G13" s="150" t="str" cm="1">
        <f t="array" ref="G13">IFERROR(IF($C13&lt;&gt;"",_xll.BDP($C13,G$7),""),"")</f>
        <v/>
      </c>
      <c r="H13" s="156"/>
      <c r="I13" s="162" t="str" cm="1">
        <f t="array" ref="I13">IFERROR(IF($C13&lt;&gt;"",IF(_xll.BDP($C13,I$9)&lt;&gt;"#N/A N/A",_xll.BDP($C13,I$9),""),""),"")</f>
        <v/>
      </c>
      <c r="J13" s="149" t="str" cm="1">
        <f t="array" ref="J13">IFERROR(IF($C13&lt;&gt;"",IF(_xll.BDP($C13,J$9)&lt;&gt;"#N/A N/A",_xll.BDP($C13,J$9),""),""),"")</f>
        <v/>
      </c>
      <c r="K13" s="149" t="str" cm="1">
        <f t="array" ref="K13">IFERROR(IF($C13&lt;&gt;"",IF(_xll.BDP($C13,K$9)&lt;&gt;"#N/A N/A",_xll.BDP($C13,K$9),""),""),"")</f>
        <v/>
      </c>
      <c r="L13" s="149" t="str" cm="1">
        <f t="array" ref="L13">IFERROR(IF($C13&lt;&gt;"",IF(_xll.BDP($C13,L$9)&lt;&gt;"#N/A N/A",_xll.BDP($C13,L$9),""),""),"")</f>
        <v/>
      </c>
      <c r="M13" s="149" t="str" cm="1">
        <f t="array" ref="M13">IFERROR(IF($C13&lt;&gt;"",IF(_xll.BDP($C13,M$9)&lt;&gt;"#N/A N/A",_xll.BDP($C13,M$9),""),""),"")</f>
        <v/>
      </c>
      <c r="N13" s="149" t="str" cm="1">
        <f t="array" ref="N13">IFERROR(IF($C13&lt;&gt;"",IF(_xll.BDP($C13,N$9)&lt;&gt;"#N/A N/A",_xll.BDP($C13,N$9),""),""),"")</f>
        <v/>
      </c>
      <c r="O13" s="149" t="str" cm="1">
        <f t="array" ref="O13">IFERROR(IF($C13&lt;&gt;"",IF(_xll.BDP($C13,O$9)&lt;&gt;"#N/A N/A",_xll.BDP($C13,O$9),""),""),"")</f>
        <v/>
      </c>
      <c r="P13" s="150" t="str" cm="1">
        <f t="array" ref="P13">IFERROR(IF($C13&lt;&gt;"",IF(_xll.BDP($C13,P$9)&lt;&gt;"#N/A N/A",_xll.BDP($C13,P$9),""),""),"")</f>
        <v/>
      </c>
    </row>
    <row r="14" spans="2:16" x14ac:dyDescent="0.25">
      <c r="B14" s="508"/>
      <c r="C14" s="207"/>
      <c r="D14" s="153" t="str" cm="1">
        <f t="array" ref="D14">IFERROR(IF($C14&lt;&gt;"",_xll.BDP($C14,D$7),""),"")</f>
        <v/>
      </c>
      <c r="E14" s="148" t="str" cm="1">
        <f t="array" ref="E14">IFERROR(IF($C14&lt;&gt;"",_xll.BDP($C14,E$7),""),"")</f>
        <v/>
      </c>
      <c r="F14" s="221" t="str" cm="1">
        <f t="array" ref="F14">IFERROR(IF($C14&lt;&gt;"",_xll.BDP($C14,F$7),""),"")</f>
        <v/>
      </c>
      <c r="G14" s="152" t="str" cm="1">
        <f t="array" ref="G14">IFERROR(IF($C14&lt;&gt;"",_xll.BDP($C14,G$7),""),"")</f>
        <v/>
      </c>
      <c r="H14" s="156"/>
      <c r="I14" s="161" t="str" cm="1">
        <f t="array" ref="I14">IFERROR(IF($C14&lt;&gt;"",IF(_xll.BDP($C14,I$9)&lt;&gt;"#N/A N/A",_xll.BDP($C14,I$9),""),""),"")</f>
        <v/>
      </c>
      <c r="J14" s="148" t="str" cm="1">
        <f t="array" ref="J14">IFERROR(IF($C14&lt;&gt;"",IF(_xll.BDP($C14,J$9)&lt;&gt;"#N/A N/A",_xll.BDP($C14,J$9),""),""),"")</f>
        <v/>
      </c>
      <c r="K14" s="148" t="str" cm="1">
        <f t="array" ref="K14">IFERROR(IF($C14&lt;&gt;"",IF(_xll.BDP($C14,K$9)&lt;&gt;"#N/A N/A",_xll.BDP($C14,K$9),""),""),"")</f>
        <v/>
      </c>
      <c r="L14" s="148" t="str" cm="1">
        <f t="array" ref="L14">IFERROR(IF($C14&lt;&gt;"",IF(_xll.BDP($C14,L$9)&lt;&gt;"#N/A N/A",_xll.BDP($C14,L$9),""),""),"")</f>
        <v/>
      </c>
      <c r="M14" s="148" t="str" cm="1">
        <f t="array" ref="M14">IFERROR(IF($C14&lt;&gt;"",IF(_xll.BDP($C14,M$9)&lt;&gt;"#N/A N/A",_xll.BDP($C14,M$9),""),""),"")</f>
        <v/>
      </c>
      <c r="N14" s="148" t="str" cm="1">
        <f t="array" ref="N14">IFERROR(IF($C14&lt;&gt;"",IF(_xll.BDP($C14,N$9)&lt;&gt;"#N/A N/A",_xll.BDP($C14,N$9),""),""),"")</f>
        <v/>
      </c>
      <c r="O14" s="148" t="str" cm="1">
        <f t="array" ref="O14">IFERROR(IF($C14&lt;&gt;"",IF(_xll.BDP($C14,O$9)&lt;&gt;"#N/A N/A",_xll.BDP($C14,O$9),""),""),"")</f>
        <v/>
      </c>
      <c r="P14" s="152" t="str" cm="1">
        <f t="array" ref="P14">IFERROR(IF($C14&lt;&gt;"",IF(_xll.BDP($C14,P$9)&lt;&gt;"#N/A N/A",_xll.BDP($C14,P$9),""),""),"")</f>
        <v/>
      </c>
    </row>
    <row r="15" spans="2:16" x14ac:dyDescent="0.25">
      <c r="B15" s="508"/>
      <c r="C15" s="206"/>
      <c r="D15" s="151" t="str" cm="1">
        <f t="array" ref="D15">IFERROR(IF($C15&lt;&gt;"",_xll.BDP($C15,D$7),""),"")</f>
        <v/>
      </c>
      <c r="E15" s="149" t="str" cm="1">
        <f t="array" ref="E15">IFERROR(IF($C15&lt;&gt;"",_xll.BDP($C15,E$7),""),"")</f>
        <v/>
      </c>
      <c r="F15" s="220" t="str" cm="1">
        <f t="array" ref="F15">IFERROR(IF($C15&lt;&gt;"",_xll.BDP($C15,F$7),""),"")</f>
        <v/>
      </c>
      <c r="G15" s="150" t="str" cm="1">
        <f t="array" ref="G15">IFERROR(IF($C15&lt;&gt;"",_xll.BDP($C15,G$7),""),"")</f>
        <v/>
      </c>
      <c r="H15" s="156"/>
      <c r="I15" s="162" t="str" cm="1">
        <f t="array" ref="I15">IFERROR(IF($C15&lt;&gt;"",IF(_xll.BDP($C15,I$9)&lt;&gt;"#N/A N/A",_xll.BDP($C15,I$9),""),""),"")</f>
        <v/>
      </c>
      <c r="J15" s="149" t="str" cm="1">
        <f t="array" ref="J15">IFERROR(IF($C15&lt;&gt;"",IF(_xll.BDP($C15,J$9)&lt;&gt;"#N/A N/A",_xll.BDP($C15,J$9),""),""),"")</f>
        <v/>
      </c>
      <c r="K15" s="149" t="str" cm="1">
        <f t="array" ref="K15">IFERROR(IF($C15&lt;&gt;"",IF(_xll.BDP($C15,K$9)&lt;&gt;"#N/A N/A",_xll.BDP($C15,K$9),""),""),"")</f>
        <v/>
      </c>
      <c r="L15" s="149" t="str" cm="1">
        <f t="array" ref="L15">IFERROR(IF($C15&lt;&gt;"",IF(_xll.BDP($C15,L$9)&lt;&gt;"#N/A N/A",_xll.BDP($C15,L$9),""),""),"")</f>
        <v/>
      </c>
      <c r="M15" s="149" t="str" cm="1">
        <f t="array" ref="M15">IFERROR(IF($C15&lt;&gt;"",IF(_xll.BDP($C15,M$9)&lt;&gt;"#N/A N/A",_xll.BDP($C15,M$9),""),""),"")</f>
        <v/>
      </c>
      <c r="N15" s="149" t="str" cm="1">
        <f t="array" ref="N15">IFERROR(IF($C15&lt;&gt;"",IF(_xll.BDP($C15,N$9)&lt;&gt;"#N/A N/A",_xll.BDP($C15,N$9),""),""),"")</f>
        <v/>
      </c>
      <c r="O15" s="149" t="str" cm="1">
        <f t="array" ref="O15">IFERROR(IF($C15&lt;&gt;"",IF(_xll.BDP($C15,O$9)&lt;&gt;"#N/A N/A",_xll.BDP($C15,O$9),""),""),"")</f>
        <v/>
      </c>
      <c r="P15" s="150" t="str" cm="1">
        <f t="array" ref="P15">IFERROR(IF($C15&lt;&gt;"",IF(_xll.BDP($C15,P$9)&lt;&gt;"#N/A N/A",_xll.BDP($C15,P$9),""),""),"")</f>
        <v/>
      </c>
    </row>
    <row r="16" spans="2:16" x14ac:dyDescent="0.25">
      <c r="B16" s="508"/>
      <c r="C16" s="207"/>
      <c r="D16" s="153" t="str" cm="1">
        <f t="array" ref="D16">IFERROR(IF($C16&lt;&gt;"",_xll.BDP($C16,D$7),""),"")</f>
        <v/>
      </c>
      <c r="E16" s="148" t="str" cm="1">
        <f t="array" ref="E16">IFERROR(IF($C16&lt;&gt;"",_xll.BDP($C16,E$7),""),"")</f>
        <v/>
      </c>
      <c r="F16" s="221" t="str" cm="1">
        <f t="array" ref="F16">IFERROR(IF($C16&lt;&gt;"",_xll.BDP($C16,F$7),""),"")</f>
        <v/>
      </c>
      <c r="G16" s="152" t="str" cm="1">
        <f t="array" ref="G16">IFERROR(IF($C16&lt;&gt;"",_xll.BDP($C16,G$7),""),"")</f>
        <v/>
      </c>
      <c r="H16" s="156"/>
      <c r="I16" s="161" t="str" cm="1">
        <f t="array" ref="I16">IFERROR(IF($C16&lt;&gt;"",IF(_xll.BDP($C16,I$9)&lt;&gt;"#N/A N/A",_xll.BDP($C16,I$9),""),""),"")</f>
        <v/>
      </c>
      <c r="J16" s="148" t="str" cm="1">
        <f t="array" ref="J16">IFERROR(IF($C16&lt;&gt;"",IF(_xll.BDP($C16,J$9)&lt;&gt;"#N/A N/A",_xll.BDP($C16,J$9),""),""),"")</f>
        <v/>
      </c>
      <c r="K16" s="148" t="str" cm="1">
        <f t="array" ref="K16">IFERROR(IF($C16&lt;&gt;"",IF(_xll.BDP($C16,K$9)&lt;&gt;"#N/A N/A",_xll.BDP($C16,K$9),""),""),"")</f>
        <v/>
      </c>
      <c r="L16" s="148" t="str" cm="1">
        <f t="array" ref="L16">IFERROR(IF($C16&lt;&gt;"",IF(_xll.BDP($C16,L$9)&lt;&gt;"#N/A N/A",_xll.BDP($C16,L$9),""),""),"")</f>
        <v/>
      </c>
      <c r="M16" s="148" t="str" cm="1">
        <f t="array" ref="M16">IFERROR(IF($C16&lt;&gt;"",IF(_xll.BDP($C16,M$9)&lt;&gt;"#N/A N/A",_xll.BDP($C16,M$9),""),""),"")</f>
        <v/>
      </c>
      <c r="N16" s="148" t="str" cm="1">
        <f t="array" ref="N16">IFERROR(IF($C16&lt;&gt;"",IF(_xll.BDP($C16,N$9)&lt;&gt;"#N/A N/A",_xll.BDP($C16,N$9),""),""),"")</f>
        <v/>
      </c>
      <c r="O16" s="148" t="str" cm="1">
        <f t="array" ref="O16">IFERROR(IF($C16&lt;&gt;"",IF(_xll.BDP($C16,O$9)&lt;&gt;"#N/A N/A",_xll.BDP($C16,O$9),""),""),"")</f>
        <v/>
      </c>
      <c r="P16" s="152" t="str" cm="1">
        <f t="array" ref="P16">IFERROR(IF($C16&lt;&gt;"",IF(_xll.BDP($C16,P$9)&lt;&gt;"#N/A N/A",_xll.BDP($C16,P$9),""),""),"")</f>
        <v/>
      </c>
    </row>
    <row r="17" spans="2:16" x14ac:dyDescent="0.25">
      <c r="B17" s="508"/>
      <c r="C17" s="206"/>
      <c r="D17" s="151" t="str" cm="1">
        <f t="array" ref="D17">IFERROR(IF($C17&lt;&gt;"",_xll.BDP($C17,D$7),""),"")</f>
        <v/>
      </c>
      <c r="E17" s="149" t="str" cm="1">
        <f t="array" ref="E17">IFERROR(IF($C17&lt;&gt;"",_xll.BDP($C17,E$7),""),"")</f>
        <v/>
      </c>
      <c r="F17" s="220" t="str" cm="1">
        <f t="array" ref="F17">IFERROR(IF($C17&lt;&gt;"",_xll.BDP($C17,F$7),""),"")</f>
        <v/>
      </c>
      <c r="G17" s="150" t="str" cm="1">
        <f t="array" ref="G17">IFERROR(IF($C17&lt;&gt;"",_xll.BDP($C17,G$7),""),"")</f>
        <v/>
      </c>
      <c r="H17" s="156"/>
      <c r="I17" s="162" t="str" cm="1">
        <f t="array" ref="I17">IFERROR(IF($C17&lt;&gt;"",IF(_xll.BDP($C17,I$9)&lt;&gt;"#N/A N/A",_xll.BDP($C17,I$9),""),""),"")</f>
        <v/>
      </c>
      <c r="J17" s="149" t="str" cm="1">
        <f t="array" ref="J17">IFERROR(IF($C17&lt;&gt;"",IF(_xll.BDP($C17,J$9)&lt;&gt;"#N/A N/A",_xll.BDP($C17,J$9),""),""),"")</f>
        <v/>
      </c>
      <c r="K17" s="149" t="str" cm="1">
        <f t="array" ref="K17">IFERROR(IF($C17&lt;&gt;"",IF(_xll.BDP($C17,K$9)&lt;&gt;"#N/A N/A",_xll.BDP($C17,K$9),""),""),"")</f>
        <v/>
      </c>
      <c r="L17" s="149" t="str" cm="1">
        <f t="array" ref="L17">IFERROR(IF($C17&lt;&gt;"",IF(_xll.BDP($C17,L$9)&lt;&gt;"#N/A N/A",_xll.BDP($C17,L$9),""),""),"")</f>
        <v/>
      </c>
      <c r="M17" s="149" t="str" cm="1">
        <f t="array" ref="M17">IFERROR(IF($C17&lt;&gt;"",IF(_xll.BDP($C17,M$9)&lt;&gt;"#N/A N/A",_xll.BDP($C17,M$9),""),""),"")</f>
        <v/>
      </c>
      <c r="N17" s="149" t="str" cm="1">
        <f t="array" ref="N17">IFERROR(IF($C17&lt;&gt;"",IF(_xll.BDP($C17,N$9)&lt;&gt;"#N/A N/A",_xll.BDP($C17,N$9),""),""),"")</f>
        <v/>
      </c>
      <c r="O17" s="149" t="str" cm="1">
        <f t="array" ref="O17">IFERROR(IF($C17&lt;&gt;"",IF(_xll.BDP($C17,O$9)&lt;&gt;"#N/A N/A",_xll.BDP($C17,O$9),""),""),"")</f>
        <v/>
      </c>
      <c r="P17" s="150" t="str" cm="1">
        <f t="array" ref="P17">IFERROR(IF($C17&lt;&gt;"",IF(_xll.BDP($C17,P$9)&lt;&gt;"#N/A N/A",_xll.BDP($C17,P$9),""),""),"")</f>
        <v/>
      </c>
    </row>
    <row r="18" spans="2:16" x14ac:dyDescent="0.25">
      <c r="B18" s="508"/>
      <c r="C18" s="207"/>
      <c r="D18" s="153" t="str" cm="1">
        <f t="array" ref="D18">IFERROR(IF($C18&lt;&gt;"",_xll.BDP($C18,D$7),""),"")</f>
        <v/>
      </c>
      <c r="E18" s="148" t="str" cm="1">
        <f t="array" ref="E18">IFERROR(IF($C18&lt;&gt;"",_xll.BDP($C18,E$7),""),"")</f>
        <v/>
      </c>
      <c r="F18" s="221" t="str" cm="1">
        <f t="array" ref="F18">IFERROR(IF($C18&lt;&gt;"",_xll.BDP($C18,F$7),""),"")</f>
        <v/>
      </c>
      <c r="G18" s="152" t="str" cm="1">
        <f t="array" ref="G18">IFERROR(IF($C18&lt;&gt;"",_xll.BDP($C18,G$7),""),"")</f>
        <v/>
      </c>
      <c r="H18" s="156"/>
      <c r="I18" s="161" t="str" cm="1">
        <f t="array" ref="I18">IFERROR(IF($C18&lt;&gt;"",IF(_xll.BDP($C18,I$9)&lt;&gt;"#N/A N/A",_xll.BDP($C18,I$9),""),""),"")</f>
        <v/>
      </c>
      <c r="J18" s="148" t="str" cm="1">
        <f t="array" ref="J18">IFERROR(IF($C18&lt;&gt;"",IF(_xll.BDP($C18,J$9)&lt;&gt;"#N/A N/A",_xll.BDP($C18,J$9),""),""),"")</f>
        <v/>
      </c>
      <c r="K18" s="148" t="str" cm="1">
        <f t="array" ref="K18">IFERROR(IF($C18&lt;&gt;"",IF(_xll.BDP($C18,K$9)&lt;&gt;"#N/A N/A",_xll.BDP($C18,K$9),""),""),"")</f>
        <v/>
      </c>
      <c r="L18" s="148" t="str" cm="1">
        <f t="array" ref="L18">IFERROR(IF($C18&lt;&gt;"",IF(_xll.BDP($C18,L$9)&lt;&gt;"#N/A N/A",_xll.BDP($C18,L$9),""),""),"")</f>
        <v/>
      </c>
      <c r="M18" s="148" t="str" cm="1">
        <f t="array" ref="M18">IFERROR(IF($C18&lt;&gt;"",IF(_xll.BDP($C18,M$9)&lt;&gt;"#N/A N/A",_xll.BDP($C18,M$9),""),""),"")</f>
        <v/>
      </c>
      <c r="N18" s="148" t="str" cm="1">
        <f t="array" ref="N18">IFERROR(IF($C18&lt;&gt;"",IF(_xll.BDP($C18,N$9)&lt;&gt;"#N/A N/A",_xll.BDP($C18,N$9),""),""),"")</f>
        <v/>
      </c>
      <c r="O18" s="148" t="str" cm="1">
        <f t="array" ref="O18">IFERROR(IF($C18&lt;&gt;"",IF(_xll.BDP($C18,O$9)&lt;&gt;"#N/A N/A",_xll.BDP($C18,O$9),""),""),"")</f>
        <v/>
      </c>
      <c r="P18" s="152" t="str" cm="1">
        <f t="array" ref="P18">IFERROR(IF($C18&lt;&gt;"",IF(_xll.BDP($C18,P$9)&lt;&gt;"#N/A N/A",_xll.BDP($C18,P$9),""),""),"")</f>
        <v/>
      </c>
    </row>
    <row r="19" spans="2:16" x14ac:dyDescent="0.25">
      <c r="B19" s="508"/>
      <c r="C19" s="206"/>
      <c r="D19" s="151" t="str" cm="1">
        <f t="array" ref="D19">IFERROR(IF($C19&lt;&gt;"",_xll.BDP($C19,D$7),""),"")</f>
        <v/>
      </c>
      <c r="E19" s="149" t="str" cm="1">
        <f t="array" ref="E19">IFERROR(IF($C19&lt;&gt;"",_xll.BDP($C19,E$7),""),"")</f>
        <v/>
      </c>
      <c r="F19" s="220" t="str" cm="1">
        <f t="array" ref="F19">IFERROR(IF($C19&lt;&gt;"",_xll.BDP($C19,F$7),""),"")</f>
        <v/>
      </c>
      <c r="G19" s="150" t="str" cm="1">
        <f t="array" ref="G19">IFERROR(IF($C19&lt;&gt;"",_xll.BDP($C19,G$7),""),"")</f>
        <v/>
      </c>
      <c r="H19" s="156"/>
      <c r="I19" s="162" t="str" cm="1">
        <f t="array" ref="I19">IFERROR(IF($C19&lt;&gt;"",IF(_xll.BDP($C19,I$9)&lt;&gt;"#N/A N/A",_xll.BDP($C19,I$9),""),""),"")</f>
        <v/>
      </c>
      <c r="J19" s="149" t="str" cm="1">
        <f t="array" ref="J19">IFERROR(IF($C19&lt;&gt;"",IF(_xll.BDP($C19,J$9)&lt;&gt;"#N/A N/A",_xll.BDP($C19,J$9),""),""),"")</f>
        <v/>
      </c>
      <c r="K19" s="149" t="str" cm="1">
        <f t="array" ref="K19">IFERROR(IF($C19&lt;&gt;"",IF(_xll.BDP($C19,K$9)&lt;&gt;"#N/A N/A",_xll.BDP($C19,K$9),""),""),"")</f>
        <v/>
      </c>
      <c r="L19" s="149" t="str" cm="1">
        <f t="array" ref="L19">IFERROR(IF($C19&lt;&gt;"",IF(_xll.BDP($C19,L$9)&lt;&gt;"#N/A N/A",_xll.BDP($C19,L$9),""),""),"")</f>
        <v/>
      </c>
      <c r="M19" s="149" t="str" cm="1">
        <f t="array" ref="M19">IFERROR(IF($C19&lt;&gt;"",IF(_xll.BDP($C19,M$9)&lt;&gt;"#N/A N/A",_xll.BDP($C19,M$9),""),""),"")</f>
        <v/>
      </c>
      <c r="N19" s="149" t="str" cm="1">
        <f t="array" ref="N19">IFERROR(IF($C19&lt;&gt;"",IF(_xll.BDP($C19,N$9)&lt;&gt;"#N/A N/A",_xll.BDP($C19,N$9),""),""),"")</f>
        <v/>
      </c>
      <c r="O19" s="149" t="str" cm="1">
        <f t="array" ref="O19">IFERROR(IF($C19&lt;&gt;"",IF(_xll.BDP($C19,O$9)&lt;&gt;"#N/A N/A",_xll.BDP($C19,O$9),""),""),"")</f>
        <v/>
      </c>
      <c r="P19" s="150" t="str" cm="1">
        <f t="array" ref="P19">IFERROR(IF($C19&lt;&gt;"",IF(_xll.BDP($C19,P$9)&lt;&gt;"#N/A N/A",_xll.BDP($C19,P$9),""),""),"")</f>
        <v/>
      </c>
    </row>
    <row r="20" spans="2:16" x14ac:dyDescent="0.25">
      <c r="B20" s="508"/>
      <c r="C20" s="207"/>
      <c r="D20" s="153" t="str" cm="1">
        <f t="array" ref="D20">IFERROR(IF($C20&lt;&gt;"",_xll.BDP($C20,D$7),""),"")</f>
        <v/>
      </c>
      <c r="E20" s="148" t="str" cm="1">
        <f t="array" ref="E20">IFERROR(IF($C20&lt;&gt;"",_xll.BDP($C20,E$7),""),"")</f>
        <v/>
      </c>
      <c r="F20" s="221" t="str" cm="1">
        <f t="array" ref="F20">IFERROR(IF($C20&lt;&gt;"",_xll.BDP($C20,F$7),""),"")</f>
        <v/>
      </c>
      <c r="G20" s="152" t="str" cm="1">
        <f t="array" ref="G20">IFERROR(IF($C20&lt;&gt;"",_xll.BDP($C20,G$7),""),"")</f>
        <v/>
      </c>
      <c r="H20" s="156"/>
      <c r="I20" s="161" t="str" cm="1">
        <f t="array" ref="I20">IFERROR(IF($C20&lt;&gt;"",IF(_xll.BDP($C20,I$9)&lt;&gt;"#N/A N/A",_xll.BDP($C20,I$9),""),""),"")</f>
        <v/>
      </c>
      <c r="J20" s="148" t="str" cm="1">
        <f t="array" ref="J20">IFERROR(IF($C20&lt;&gt;"",IF(_xll.BDP($C20,J$9)&lt;&gt;"#N/A N/A",_xll.BDP($C20,J$9),""),""),"")</f>
        <v/>
      </c>
      <c r="K20" s="148" t="str" cm="1">
        <f t="array" ref="K20">IFERROR(IF($C20&lt;&gt;"",IF(_xll.BDP($C20,K$9)&lt;&gt;"#N/A N/A",_xll.BDP($C20,K$9),""),""),"")</f>
        <v/>
      </c>
      <c r="L20" s="148" t="str" cm="1">
        <f t="array" ref="L20">IFERROR(IF($C20&lt;&gt;"",IF(_xll.BDP($C20,L$9)&lt;&gt;"#N/A N/A",_xll.BDP($C20,L$9),""),""),"")</f>
        <v/>
      </c>
      <c r="M20" s="148" t="str" cm="1">
        <f t="array" ref="M20">IFERROR(IF($C20&lt;&gt;"",IF(_xll.BDP($C20,M$9)&lt;&gt;"#N/A N/A",_xll.BDP($C20,M$9),""),""),"")</f>
        <v/>
      </c>
      <c r="N20" s="148" t="str" cm="1">
        <f t="array" ref="N20">IFERROR(IF($C20&lt;&gt;"",IF(_xll.BDP($C20,N$9)&lt;&gt;"#N/A N/A",_xll.BDP($C20,N$9),""),""),"")</f>
        <v/>
      </c>
      <c r="O20" s="148" t="str" cm="1">
        <f t="array" ref="O20">IFERROR(IF($C20&lt;&gt;"",IF(_xll.BDP($C20,O$9)&lt;&gt;"#N/A N/A",_xll.BDP($C20,O$9),""),""),"")</f>
        <v/>
      </c>
      <c r="P20" s="152" t="str" cm="1">
        <f t="array" ref="P20">IFERROR(IF($C20&lt;&gt;"",IF(_xll.BDP($C20,P$9)&lt;&gt;"#N/A N/A",_xll.BDP($C20,P$9),""),""),"")</f>
        <v/>
      </c>
    </row>
    <row r="21" spans="2:16" x14ac:dyDescent="0.25">
      <c r="B21" s="508"/>
      <c r="C21" s="206"/>
      <c r="D21" s="151" t="str" cm="1">
        <f t="array" ref="D21">IFERROR(IF($C21&lt;&gt;"",_xll.BDP($C21,D$7),""),"")</f>
        <v/>
      </c>
      <c r="E21" s="149" t="str" cm="1">
        <f t="array" ref="E21">IFERROR(IF($C21&lt;&gt;"",_xll.BDP($C21,E$7),""),"")</f>
        <v/>
      </c>
      <c r="F21" s="209" t="str" cm="1">
        <f t="array" ref="F21">IFERROR(IF($C21&lt;&gt;"",_xll.BDP($C21,F$7),""),"")</f>
        <v/>
      </c>
      <c r="G21" s="150" t="str" cm="1">
        <f t="array" ref="G21">IFERROR(IF($C21&lt;&gt;"",_xll.BDP($C21,G$7),""),"")</f>
        <v/>
      </c>
      <c r="H21" s="156"/>
      <c r="I21" s="162" t="str" cm="1">
        <f t="array" ref="I21">IFERROR(IF($C21&lt;&gt;"",IF(_xll.BDP($C21,I$9)&lt;&gt;"#N/A N/A",_xll.BDP($C21,I$9),""),""),"")</f>
        <v/>
      </c>
      <c r="J21" s="149" t="str" cm="1">
        <f t="array" ref="J21">IFERROR(IF($C21&lt;&gt;"",IF(_xll.BDP($C21,J$9)&lt;&gt;"#N/A N/A",_xll.BDP($C21,J$9),""),""),"")</f>
        <v/>
      </c>
      <c r="K21" s="149" t="str" cm="1">
        <f t="array" ref="K21">IFERROR(IF($C21&lt;&gt;"",IF(_xll.BDP($C21,K$9)&lt;&gt;"#N/A N/A",_xll.BDP($C21,K$9),""),""),"")</f>
        <v/>
      </c>
      <c r="L21" s="149" t="str" cm="1">
        <f t="array" ref="L21">IFERROR(IF($C21&lt;&gt;"",IF(_xll.BDP($C21,L$9)&lt;&gt;"#N/A N/A",_xll.BDP($C21,L$9),""),""),"")</f>
        <v/>
      </c>
      <c r="M21" s="149" t="str" cm="1">
        <f t="array" ref="M21">IFERROR(IF($C21&lt;&gt;"",IF(_xll.BDP($C21,M$9)&lt;&gt;"#N/A N/A",_xll.BDP($C21,M$9),""),""),"")</f>
        <v/>
      </c>
      <c r="N21" s="149" t="str" cm="1">
        <f t="array" ref="N21">IFERROR(IF($C21&lt;&gt;"",IF(_xll.BDP($C21,N$9)&lt;&gt;"#N/A N/A",_xll.BDP($C21,N$9),""),""),"")</f>
        <v/>
      </c>
      <c r="O21" s="149" t="str" cm="1">
        <f t="array" ref="O21">IFERROR(IF($C21&lt;&gt;"",IF(_xll.BDP($C21,O$9)&lt;&gt;"#N/A N/A",_xll.BDP($C21,O$9),""),""),"")</f>
        <v/>
      </c>
      <c r="P21" s="150" t="str" cm="1">
        <f t="array" ref="P21">IFERROR(IF($C21&lt;&gt;"",IF(_xll.BDP($C21,P$9)&lt;&gt;"#N/A N/A",_xll.BDP($C21,P$9),""),""),"")</f>
        <v/>
      </c>
    </row>
    <row r="22" spans="2:16" x14ac:dyDescent="0.25">
      <c r="B22" s="508"/>
      <c r="C22" s="207"/>
      <c r="D22" s="153" t="str" cm="1">
        <f t="array" ref="D22">IFERROR(IF($C22&lt;&gt;"",_xll.BDP($C22,D$7),""),"")</f>
        <v/>
      </c>
      <c r="E22" s="148" t="str" cm="1">
        <f t="array" ref="E22">IFERROR(IF($C22&lt;&gt;"",_xll.BDP($C22,E$7),""),"")</f>
        <v/>
      </c>
      <c r="F22" s="210" t="str" cm="1">
        <f t="array" ref="F22">IFERROR(IF($C22&lt;&gt;"",_xll.BDP($C22,F$7),""),"")</f>
        <v/>
      </c>
      <c r="G22" s="152" t="str" cm="1">
        <f t="array" ref="G22">IFERROR(IF($C22&lt;&gt;"",_xll.BDP($C22,G$7),""),"")</f>
        <v/>
      </c>
      <c r="H22" s="156"/>
      <c r="I22" s="161" t="str" cm="1">
        <f t="array" ref="I22">IFERROR(IF($C22&lt;&gt;"",IF(_xll.BDP($C22,I$9)&lt;&gt;"#N/A N/A",_xll.BDP($C22,I$9),""),""),"")</f>
        <v/>
      </c>
      <c r="J22" s="148" t="str" cm="1">
        <f t="array" ref="J22">IFERROR(IF($C22&lt;&gt;"",IF(_xll.BDP($C22,J$9)&lt;&gt;"#N/A N/A",_xll.BDP($C22,J$9),""),""),"")</f>
        <v/>
      </c>
      <c r="K22" s="148" t="str" cm="1">
        <f t="array" ref="K22">IFERROR(IF($C22&lt;&gt;"",IF(_xll.BDP($C22,K$9)&lt;&gt;"#N/A N/A",_xll.BDP($C22,K$9),""),""),"")</f>
        <v/>
      </c>
      <c r="L22" s="148" t="str" cm="1">
        <f t="array" ref="L22">IFERROR(IF($C22&lt;&gt;"",IF(_xll.BDP($C22,L$9)&lt;&gt;"#N/A N/A",_xll.BDP($C22,L$9),""),""),"")</f>
        <v/>
      </c>
      <c r="M22" s="148" t="str" cm="1">
        <f t="array" ref="M22">IFERROR(IF($C22&lt;&gt;"",IF(_xll.BDP($C22,M$9)&lt;&gt;"#N/A N/A",_xll.BDP($C22,M$9),""),""),"")</f>
        <v/>
      </c>
      <c r="N22" s="148" t="str" cm="1">
        <f t="array" ref="N22">IFERROR(IF($C22&lt;&gt;"",IF(_xll.BDP($C22,N$9)&lt;&gt;"#N/A N/A",_xll.BDP($C22,N$9),""),""),"")</f>
        <v/>
      </c>
      <c r="O22" s="148" t="str" cm="1">
        <f t="array" ref="O22">IFERROR(IF($C22&lt;&gt;"",IF(_xll.BDP($C22,O$9)&lt;&gt;"#N/A N/A",_xll.BDP($C22,O$9),""),""),"")</f>
        <v/>
      </c>
      <c r="P22" s="152" t="str" cm="1">
        <f t="array" ref="P22">IFERROR(IF($C22&lt;&gt;"",IF(_xll.BDP($C22,P$9)&lt;&gt;"#N/A N/A",_xll.BDP($C22,P$9),""),""),"")</f>
        <v/>
      </c>
    </row>
    <row r="23" spans="2:16" x14ac:dyDescent="0.25">
      <c r="B23" s="508"/>
      <c r="C23" s="206"/>
      <c r="D23" s="151" t="str" cm="1">
        <f t="array" ref="D23">IFERROR(IF($C23&lt;&gt;"",_xll.BDP($C23,D$7),""),"")</f>
        <v/>
      </c>
      <c r="E23" s="149" t="str" cm="1">
        <f t="array" ref="E23">IFERROR(IF($C23&lt;&gt;"",_xll.BDP($C23,E$7),""),"")</f>
        <v/>
      </c>
      <c r="F23" s="209" t="str" cm="1">
        <f t="array" ref="F23">IFERROR(IF($C23&lt;&gt;"",_xll.BDP($C23,F$7),""),"")</f>
        <v/>
      </c>
      <c r="G23" s="150" t="str" cm="1">
        <f t="array" ref="G23">IFERROR(IF($C23&lt;&gt;"",_xll.BDP($C23,G$7),""),"")</f>
        <v/>
      </c>
      <c r="H23" s="156"/>
      <c r="I23" s="162" t="str" cm="1">
        <f t="array" ref="I23">IFERROR(IF($C23&lt;&gt;"",IF(_xll.BDP($C23,I$9)&lt;&gt;"#N/A N/A",_xll.BDP($C23,I$9),""),""),"")</f>
        <v/>
      </c>
      <c r="J23" s="149" t="str" cm="1">
        <f t="array" ref="J23">IFERROR(IF($C23&lt;&gt;"",IF(_xll.BDP($C23,J$9)&lt;&gt;"#N/A N/A",_xll.BDP($C23,J$9),""),""),"")</f>
        <v/>
      </c>
      <c r="K23" s="149" t="str" cm="1">
        <f t="array" ref="K23">IFERROR(IF($C23&lt;&gt;"",IF(_xll.BDP($C23,K$9)&lt;&gt;"#N/A N/A",_xll.BDP($C23,K$9),""),""),"")</f>
        <v/>
      </c>
      <c r="L23" s="149" t="str" cm="1">
        <f t="array" ref="L23">IFERROR(IF($C23&lt;&gt;"",IF(_xll.BDP($C23,L$9)&lt;&gt;"#N/A N/A",_xll.BDP($C23,L$9),""),""),"")</f>
        <v/>
      </c>
      <c r="M23" s="149" t="str" cm="1">
        <f t="array" ref="M23">IFERROR(IF($C23&lt;&gt;"",IF(_xll.BDP($C23,M$9)&lt;&gt;"#N/A N/A",_xll.BDP($C23,M$9),""),""),"")</f>
        <v/>
      </c>
      <c r="N23" s="149" t="str" cm="1">
        <f t="array" ref="N23">IFERROR(IF($C23&lt;&gt;"",IF(_xll.BDP($C23,N$9)&lt;&gt;"#N/A N/A",_xll.BDP($C23,N$9),""),""),"")</f>
        <v/>
      </c>
      <c r="O23" s="149" t="str" cm="1">
        <f t="array" ref="O23">IFERROR(IF($C23&lt;&gt;"",IF(_xll.BDP($C23,O$9)&lt;&gt;"#N/A N/A",_xll.BDP($C23,O$9),""),""),"")</f>
        <v/>
      </c>
      <c r="P23" s="150" t="str" cm="1">
        <f t="array" ref="P23">IFERROR(IF($C23&lt;&gt;"",IF(_xll.BDP($C23,P$9)&lt;&gt;"#N/A N/A",_xll.BDP($C23,P$9),""),""),"")</f>
        <v/>
      </c>
    </row>
    <row r="24" spans="2:16" x14ac:dyDescent="0.25">
      <c r="B24" s="508"/>
      <c r="C24" s="207"/>
      <c r="D24" s="153" t="str" cm="1">
        <f t="array" ref="D24">IFERROR(IF($C24&lt;&gt;"",_xll.BDP($C24,D$7),""),"")</f>
        <v/>
      </c>
      <c r="E24" s="148" t="str" cm="1">
        <f t="array" ref="E24">IFERROR(IF($C24&lt;&gt;"",_xll.BDP($C24,E$7),""),"")</f>
        <v/>
      </c>
      <c r="F24" s="210" t="str" cm="1">
        <f t="array" ref="F24">IFERROR(IF($C24&lt;&gt;"",_xll.BDP($C24,F$7),""),"")</f>
        <v/>
      </c>
      <c r="G24" s="152" t="str" cm="1">
        <f t="array" ref="G24">IFERROR(IF($C24&lt;&gt;"",_xll.BDP($C24,G$7),""),"")</f>
        <v/>
      </c>
      <c r="H24" s="156"/>
      <c r="I24" s="161" t="str" cm="1">
        <f t="array" ref="I24">IFERROR(IF($C24&lt;&gt;"",IF(_xll.BDP($C24,I$9)&lt;&gt;"#N/A N/A",_xll.BDP($C24,I$9),""),""),"")</f>
        <v/>
      </c>
      <c r="J24" s="148" t="str" cm="1">
        <f t="array" ref="J24">IFERROR(IF($C24&lt;&gt;"",IF(_xll.BDP($C24,J$9)&lt;&gt;"#N/A N/A",_xll.BDP($C24,J$9),""),""),"")</f>
        <v/>
      </c>
      <c r="K24" s="148" t="str" cm="1">
        <f t="array" ref="K24">IFERROR(IF($C24&lt;&gt;"",IF(_xll.BDP($C24,K$9)&lt;&gt;"#N/A N/A",_xll.BDP($C24,K$9),""),""),"")</f>
        <v/>
      </c>
      <c r="L24" s="148" t="str" cm="1">
        <f t="array" ref="L24">IFERROR(IF($C24&lt;&gt;"",IF(_xll.BDP($C24,L$9)&lt;&gt;"#N/A N/A",_xll.BDP($C24,L$9),""),""),"")</f>
        <v/>
      </c>
      <c r="M24" s="148" t="str" cm="1">
        <f t="array" ref="M24">IFERROR(IF($C24&lt;&gt;"",IF(_xll.BDP($C24,M$9)&lt;&gt;"#N/A N/A",_xll.BDP($C24,M$9),""),""),"")</f>
        <v/>
      </c>
      <c r="N24" s="148" t="str" cm="1">
        <f t="array" ref="N24">IFERROR(IF($C24&lt;&gt;"",IF(_xll.BDP($C24,N$9)&lt;&gt;"#N/A N/A",_xll.BDP($C24,N$9),""),""),"")</f>
        <v/>
      </c>
      <c r="O24" s="148" t="str" cm="1">
        <f t="array" ref="O24">IFERROR(IF($C24&lt;&gt;"",IF(_xll.BDP($C24,O$9)&lt;&gt;"#N/A N/A",_xll.BDP($C24,O$9),""),""),"")</f>
        <v/>
      </c>
      <c r="P24" s="152" t="str" cm="1">
        <f t="array" ref="P24">IFERROR(IF($C24&lt;&gt;"",IF(_xll.BDP($C24,P$9)&lt;&gt;"#N/A N/A",_xll.BDP($C24,P$9),""),""),"")</f>
        <v/>
      </c>
    </row>
    <row r="25" spans="2:16" x14ac:dyDescent="0.25">
      <c r="B25" s="508"/>
      <c r="C25" s="206"/>
      <c r="D25" s="151" t="str" cm="1">
        <f t="array" ref="D25">IFERROR(IF($C25&lt;&gt;"",_xll.BDP($C25,D$7),""),"")</f>
        <v/>
      </c>
      <c r="E25" s="149" t="str" cm="1">
        <f t="array" ref="E25">IFERROR(IF($C25&lt;&gt;"",_xll.BDP($C25,E$7),""),"")</f>
        <v/>
      </c>
      <c r="F25" s="209" t="str" cm="1">
        <f t="array" ref="F25">IFERROR(IF($C25&lt;&gt;"",_xll.BDP($C25,F$7),""),"")</f>
        <v/>
      </c>
      <c r="G25" s="150" t="str" cm="1">
        <f t="array" ref="G25">IFERROR(IF($C25&lt;&gt;"",_xll.BDP($C25,G$7),""),"")</f>
        <v/>
      </c>
      <c r="H25" s="156"/>
      <c r="I25" s="162" t="str" cm="1">
        <f t="array" ref="I25">IFERROR(IF($C25&lt;&gt;"",IF(_xll.BDP($C25,I$9)&lt;&gt;"#N/A N/A",_xll.BDP($C25,I$9),""),""),"")</f>
        <v/>
      </c>
      <c r="J25" s="149" t="str" cm="1">
        <f t="array" ref="J25">IFERROR(IF($C25&lt;&gt;"",IF(_xll.BDP($C25,J$9)&lt;&gt;"#N/A N/A",_xll.BDP($C25,J$9),""),""),"")</f>
        <v/>
      </c>
      <c r="K25" s="149" t="str" cm="1">
        <f t="array" ref="K25">IFERROR(IF($C25&lt;&gt;"",IF(_xll.BDP($C25,K$9)&lt;&gt;"#N/A N/A",_xll.BDP($C25,K$9),""),""),"")</f>
        <v/>
      </c>
      <c r="L25" s="149" t="str" cm="1">
        <f t="array" ref="L25">IFERROR(IF($C25&lt;&gt;"",IF(_xll.BDP($C25,L$9)&lt;&gt;"#N/A N/A",_xll.BDP($C25,L$9),""),""),"")</f>
        <v/>
      </c>
      <c r="M25" s="149" t="str" cm="1">
        <f t="array" ref="M25">IFERROR(IF($C25&lt;&gt;"",IF(_xll.BDP($C25,M$9)&lt;&gt;"#N/A N/A",_xll.BDP($C25,M$9),""),""),"")</f>
        <v/>
      </c>
      <c r="N25" s="149" t="str" cm="1">
        <f t="array" ref="N25">IFERROR(IF($C25&lt;&gt;"",IF(_xll.BDP($C25,N$9)&lt;&gt;"#N/A N/A",_xll.BDP($C25,N$9),""),""),"")</f>
        <v/>
      </c>
      <c r="O25" s="149" t="str" cm="1">
        <f t="array" ref="O25">IFERROR(IF($C25&lt;&gt;"",IF(_xll.BDP($C25,O$9)&lt;&gt;"#N/A N/A",_xll.BDP($C25,O$9),""),""),"")</f>
        <v/>
      </c>
      <c r="P25" s="150" t="str" cm="1">
        <f t="array" ref="P25">IFERROR(IF($C25&lt;&gt;"",IF(_xll.BDP($C25,P$9)&lt;&gt;"#N/A N/A",_xll.BDP($C25,P$9),""),""),"")</f>
        <v/>
      </c>
    </row>
    <row r="26" spans="2:16" x14ac:dyDescent="0.25">
      <c r="B26" s="508"/>
      <c r="C26" s="207"/>
      <c r="D26" s="153" t="str" cm="1">
        <f t="array" ref="D26">IFERROR(IF($C26&lt;&gt;"",_xll.BDP($C26,D$7),""),"")</f>
        <v/>
      </c>
      <c r="E26" s="148" t="str" cm="1">
        <f t="array" ref="E26">IFERROR(IF($C26&lt;&gt;"",_xll.BDP($C26,E$7),""),"")</f>
        <v/>
      </c>
      <c r="F26" s="210" t="str" cm="1">
        <f t="array" ref="F26">IFERROR(IF($C26&lt;&gt;"",_xll.BDP($C26,F$7),""),"")</f>
        <v/>
      </c>
      <c r="G26" s="152" t="str" cm="1">
        <f t="array" ref="G26">IFERROR(IF($C26&lt;&gt;"",_xll.BDP($C26,G$7),""),"")</f>
        <v/>
      </c>
      <c r="H26" s="156"/>
      <c r="I26" s="161" t="str" cm="1">
        <f t="array" ref="I26">IFERROR(IF($C26&lt;&gt;"",IF(_xll.BDP($C26,I$9)&lt;&gt;"#N/A N/A",_xll.BDP($C26,I$9),""),""),"")</f>
        <v/>
      </c>
      <c r="J26" s="148" t="str" cm="1">
        <f t="array" ref="J26">IFERROR(IF($C26&lt;&gt;"",IF(_xll.BDP($C26,J$9)&lt;&gt;"#N/A N/A",_xll.BDP($C26,J$9),""),""),"")</f>
        <v/>
      </c>
      <c r="K26" s="148" t="str" cm="1">
        <f t="array" ref="K26">IFERROR(IF($C26&lt;&gt;"",IF(_xll.BDP($C26,K$9)&lt;&gt;"#N/A N/A",_xll.BDP($C26,K$9),""),""),"")</f>
        <v/>
      </c>
      <c r="L26" s="148" t="str" cm="1">
        <f t="array" ref="L26">IFERROR(IF($C26&lt;&gt;"",IF(_xll.BDP($C26,L$9)&lt;&gt;"#N/A N/A",_xll.BDP($C26,L$9),""),""),"")</f>
        <v/>
      </c>
      <c r="M26" s="148" t="str" cm="1">
        <f t="array" ref="M26">IFERROR(IF($C26&lt;&gt;"",IF(_xll.BDP($C26,M$9)&lt;&gt;"#N/A N/A",_xll.BDP($C26,M$9),""),""),"")</f>
        <v/>
      </c>
      <c r="N26" s="148" t="str" cm="1">
        <f t="array" ref="N26">IFERROR(IF($C26&lt;&gt;"",IF(_xll.BDP($C26,N$9)&lt;&gt;"#N/A N/A",_xll.BDP($C26,N$9),""),""),"")</f>
        <v/>
      </c>
      <c r="O26" s="148" t="str" cm="1">
        <f t="array" ref="O26">IFERROR(IF($C26&lt;&gt;"",IF(_xll.BDP($C26,O$9)&lt;&gt;"#N/A N/A",_xll.BDP($C26,O$9),""),""),"")</f>
        <v/>
      </c>
      <c r="P26" s="152" t="str" cm="1">
        <f t="array" ref="P26">IFERROR(IF($C26&lt;&gt;"",IF(_xll.BDP($C26,P$9)&lt;&gt;"#N/A N/A",_xll.BDP($C26,P$9),""),""),"")</f>
        <v/>
      </c>
    </row>
    <row r="27" spans="2:16" x14ac:dyDescent="0.25">
      <c r="B27" s="508"/>
      <c r="C27" s="206"/>
      <c r="D27" s="151" t="str" cm="1">
        <f t="array" ref="D27">IFERROR(IF($C27&lt;&gt;"",_xll.BDP($C27,D$7),""),"")</f>
        <v/>
      </c>
      <c r="E27" s="149" t="str" cm="1">
        <f t="array" ref="E27">IFERROR(IF($C27&lt;&gt;"",_xll.BDP($C27,E$7),""),"")</f>
        <v/>
      </c>
      <c r="F27" s="209" t="str" cm="1">
        <f t="array" ref="F27">IFERROR(IF($C27&lt;&gt;"",_xll.BDP($C27,F$7),""),"")</f>
        <v/>
      </c>
      <c r="G27" s="150" t="str" cm="1">
        <f t="array" ref="G27">IFERROR(IF($C27&lt;&gt;"",_xll.BDP($C27,G$7),""),"")</f>
        <v/>
      </c>
      <c r="H27" s="156"/>
      <c r="I27" s="162" t="str" cm="1">
        <f t="array" ref="I27">IFERROR(IF($C27&lt;&gt;"",IF(_xll.BDP($C27,I$9)&lt;&gt;"#N/A N/A",_xll.BDP($C27,I$9),""),""),"")</f>
        <v/>
      </c>
      <c r="J27" s="149" t="str" cm="1">
        <f t="array" ref="J27">IFERROR(IF($C27&lt;&gt;"",IF(_xll.BDP($C27,J$9)&lt;&gt;"#N/A N/A",_xll.BDP($C27,J$9),""),""),"")</f>
        <v/>
      </c>
      <c r="K27" s="149" t="str" cm="1">
        <f t="array" ref="K27">IFERROR(IF($C27&lt;&gt;"",IF(_xll.BDP($C27,K$9)&lt;&gt;"#N/A N/A",_xll.BDP($C27,K$9),""),""),"")</f>
        <v/>
      </c>
      <c r="L27" s="149" t="str" cm="1">
        <f t="array" ref="L27">IFERROR(IF($C27&lt;&gt;"",IF(_xll.BDP($C27,L$9)&lt;&gt;"#N/A N/A",_xll.BDP($C27,L$9),""),""),"")</f>
        <v/>
      </c>
      <c r="M27" s="149" t="str" cm="1">
        <f t="array" ref="M27">IFERROR(IF($C27&lt;&gt;"",IF(_xll.BDP($C27,M$9)&lt;&gt;"#N/A N/A",_xll.BDP($C27,M$9),""),""),"")</f>
        <v/>
      </c>
      <c r="N27" s="149" t="str" cm="1">
        <f t="array" ref="N27">IFERROR(IF($C27&lt;&gt;"",IF(_xll.BDP($C27,N$9)&lt;&gt;"#N/A N/A",_xll.BDP($C27,N$9),""),""),"")</f>
        <v/>
      </c>
      <c r="O27" s="149" t="str" cm="1">
        <f t="array" ref="O27">IFERROR(IF($C27&lt;&gt;"",IF(_xll.BDP($C27,O$9)&lt;&gt;"#N/A N/A",_xll.BDP($C27,O$9),""),""),"")</f>
        <v/>
      </c>
      <c r="P27" s="150" t="str" cm="1">
        <f t="array" ref="P27">IFERROR(IF($C27&lt;&gt;"",IF(_xll.BDP($C27,P$9)&lt;&gt;"#N/A N/A",_xll.BDP($C27,P$9),""),""),"")</f>
        <v/>
      </c>
    </row>
    <row r="28" spans="2:16" x14ac:dyDescent="0.25">
      <c r="B28" s="508"/>
      <c r="C28" s="207"/>
      <c r="D28" s="153" t="str" cm="1">
        <f t="array" ref="D28">IFERROR(IF($C28&lt;&gt;"",_xll.BDP($C28,D$7),""),"")</f>
        <v/>
      </c>
      <c r="E28" s="148" t="str" cm="1">
        <f t="array" ref="E28">IFERROR(IF($C28&lt;&gt;"",_xll.BDP($C28,E$7),""),"")</f>
        <v/>
      </c>
      <c r="F28" s="210" t="str" cm="1">
        <f t="array" ref="F28">IFERROR(IF($C28&lt;&gt;"",_xll.BDP($C28,F$7),""),"")</f>
        <v/>
      </c>
      <c r="G28" s="152" t="str" cm="1">
        <f t="array" ref="G28">IFERROR(IF($C28&lt;&gt;"",_xll.BDP($C28,G$7),""),"")</f>
        <v/>
      </c>
      <c r="H28" s="156"/>
      <c r="I28" s="161" t="str" cm="1">
        <f t="array" ref="I28">IFERROR(IF($C28&lt;&gt;"",IF(_xll.BDP($C28,I$9)&lt;&gt;"#N/A N/A",_xll.BDP($C28,I$9),""),""),"")</f>
        <v/>
      </c>
      <c r="J28" s="148" t="str" cm="1">
        <f t="array" ref="J28">IFERROR(IF($C28&lt;&gt;"",IF(_xll.BDP($C28,J$9)&lt;&gt;"#N/A N/A",_xll.BDP($C28,J$9),""),""),"")</f>
        <v/>
      </c>
      <c r="K28" s="148" t="str" cm="1">
        <f t="array" ref="K28">IFERROR(IF($C28&lt;&gt;"",IF(_xll.BDP($C28,K$9)&lt;&gt;"#N/A N/A",_xll.BDP($C28,K$9),""),""),"")</f>
        <v/>
      </c>
      <c r="L28" s="148" t="str" cm="1">
        <f t="array" ref="L28">IFERROR(IF($C28&lt;&gt;"",IF(_xll.BDP($C28,L$9)&lt;&gt;"#N/A N/A",_xll.BDP($C28,L$9),""),""),"")</f>
        <v/>
      </c>
      <c r="M28" s="148" t="str" cm="1">
        <f t="array" ref="M28">IFERROR(IF($C28&lt;&gt;"",IF(_xll.BDP($C28,M$9)&lt;&gt;"#N/A N/A",_xll.BDP($C28,M$9),""),""),"")</f>
        <v/>
      </c>
      <c r="N28" s="148" t="str" cm="1">
        <f t="array" ref="N28">IFERROR(IF($C28&lt;&gt;"",IF(_xll.BDP($C28,N$9)&lt;&gt;"#N/A N/A",_xll.BDP($C28,N$9),""),""),"")</f>
        <v/>
      </c>
      <c r="O28" s="148" t="str" cm="1">
        <f t="array" ref="O28">IFERROR(IF($C28&lt;&gt;"",IF(_xll.BDP($C28,O$9)&lt;&gt;"#N/A N/A",_xll.BDP($C28,O$9),""),""),"")</f>
        <v/>
      </c>
      <c r="P28" s="152" t="str" cm="1">
        <f t="array" ref="P28">IFERROR(IF($C28&lt;&gt;"",IF(_xll.BDP($C28,P$9)&lt;&gt;"#N/A N/A",_xll.BDP($C28,P$9),""),""),"")</f>
        <v/>
      </c>
    </row>
    <row r="29" spans="2:16" ht="15.75" thickBot="1" x14ac:dyDescent="0.3">
      <c r="B29" s="509"/>
      <c r="C29" s="208"/>
      <c r="D29" s="157" t="str" cm="1">
        <f t="array" ref="D29">IFERROR(IF($C29&lt;&gt;"",_xll.BDP($C29,D$7),""),"")</f>
        <v/>
      </c>
      <c r="E29" s="158" t="str" cm="1">
        <f t="array" ref="E29">IFERROR(IF($C29&lt;&gt;"",_xll.BDP($C29,E$7),""),"")</f>
        <v/>
      </c>
      <c r="F29" s="211" t="str" cm="1">
        <f t="array" ref="F29">IFERROR(IF($C29&lt;&gt;"",_xll.BDP($C29,F$7),""),"")</f>
        <v/>
      </c>
      <c r="G29" s="159" t="str" cm="1">
        <f t="array" ref="G29">IFERROR(IF($C29&lt;&gt;"",_xll.BDP($C29,G$7),""),"")</f>
        <v/>
      </c>
      <c r="H29" s="156"/>
      <c r="I29" s="163" t="str" cm="1">
        <f t="array" ref="I29">IFERROR(IF($C29&lt;&gt;"",IF(_xll.BDP($C29,I$9)&lt;&gt;"#N/A N/A",_xll.BDP($C29,I$9),""),""),"")</f>
        <v/>
      </c>
      <c r="J29" s="158" t="str" cm="1">
        <f t="array" ref="J29">IFERROR(IF($C29&lt;&gt;"",IF(_xll.BDP($C29,J$9)&lt;&gt;"#N/A N/A",_xll.BDP($C29,J$9),""),""),"")</f>
        <v/>
      </c>
      <c r="K29" s="158" t="str" cm="1">
        <f t="array" ref="K29">IFERROR(IF($C29&lt;&gt;"",IF(_xll.BDP($C29,K$9)&lt;&gt;"#N/A N/A",_xll.BDP($C29,K$9),""),""),"")</f>
        <v/>
      </c>
      <c r="L29" s="158" t="str" cm="1">
        <f t="array" ref="L29">IFERROR(IF($C29&lt;&gt;"",IF(_xll.BDP($C29,L$9)&lt;&gt;"#N/A N/A",_xll.BDP($C29,L$9),""),""),"")</f>
        <v/>
      </c>
      <c r="M29" s="158" t="str" cm="1">
        <f t="array" ref="M29">IFERROR(IF($C29&lt;&gt;"",IF(_xll.BDP($C29,M$9)&lt;&gt;"#N/A N/A",_xll.BDP($C29,M$9),""),""),"")</f>
        <v/>
      </c>
      <c r="N29" s="158" t="str" cm="1">
        <f t="array" ref="N29">IFERROR(IF($C29&lt;&gt;"",IF(_xll.BDP($C29,N$9)&lt;&gt;"#N/A N/A",_xll.BDP($C29,N$9),""),""),"")</f>
        <v/>
      </c>
      <c r="O29" s="158" t="str" cm="1">
        <f t="array" ref="O29">IFERROR(IF($C29&lt;&gt;"",IF(_xll.BDP($C29,O$9)&lt;&gt;"#N/A N/A",_xll.BDP($C29,O$9),""),""),"")</f>
        <v/>
      </c>
      <c r="P29" s="159" t="str" cm="1">
        <f t="array" ref="P29">IFERROR(IF($C29&lt;&gt;"",IF(_xll.BDP($C29,P$9)&lt;&gt;"#N/A N/A",_xll.BDP($C29,P$9),""),""),"")</f>
        <v/>
      </c>
    </row>
    <row r="30" spans="2:16" ht="6" customHeight="1" thickBot="1" x14ac:dyDescent="0.3"/>
    <row r="31" spans="2:16" x14ac:dyDescent="0.25">
      <c r="B31" s="510" t="s">
        <v>151</v>
      </c>
      <c r="C31" s="174"/>
      <c r="D31" s="175"/>
      <c r="E31" s="185"/>
      <c r="F31" s="228"/>
      <c r="G31" s="225"/>
      <c r="H31" s="176"/>
      <c r="I31" s="212"/>
      <c r="J31" s="185"/>
      <c r="K31" s="215"/>
      <c r="L31" s="185"/>
      <c r="M31" s="215"/>
      <c r="N31" s="185"/>
      <c r="O31" s="215"/>
      <c r="P31" s="186"/>
    </row>
    <row r="32" spans="2:16" x14ac:dyDescent="0.25">
      <c r="B32" s="511"/>
      <c r="C32" s="177"/>
      <c r="D32" s="172"/>
      <c r="E32" s="173"/>
      <c r="F32" s="229"/>
      <c r="G32" s="226"/>
      <c r="H32" s="176"/>
      <c r="I32" s="213"/>
      <c r="J32" s="173"/>
      <c r="K32" s="216"/>
      <c r="L32" s="173"/>
      <c r="M32" s="216"/>
      <c r="N32" s="173"/>
      <c r="O32" s="216"/>
      <c r="P32" s="178"/>
    </row>
    <row r="33" spans="2:16" x14ac:dyDescent="0.25">
      <c r="B33" s="511"/>
      <c r="C33" s="179"/>
      <c r="D33" s="170"/>
      <c r="E33" s="171"/>
      <c r="F33" s="230"/>
      <c r="G33" s="227"/>
      <c r="H33" s="176"/>
      <c r="I33" s="214"/>
      <c r="J33" s="171"/>
      <c r="K33" s="217"/>
      <c r="L33" s="171"/>
      <c r="M33" s="217"/>
      <c r="N33" s="171"/>
      <c r="O33" s="217"/>
      <c r="P33" s="180"/>
    </row>
    <row r="34" spans="2:16" x14ac:dyDescent="0.25">
      <c r="B34" s="511"/>
      <c r="C34" s="177"/>
      <c r="D34" s="172"/>
      <c r="E34" s="173"/>
      <c r="F34" s="229"/>
      <c r="G34" s="226"/>
      <c r="H34" s="176"/>
      <c r="I34" s="213"/>
      <c r="J34" s="173"/>
      <c r="K34" s="216"/>
      <c r="L34" s="173"/>
      <c r="M34" s="216"/>
      <c r="N34" s="173"/>
      <c r="O34" s="216"/>
      <c r="P34" s="178"/>
    </row>
    <row r="35" spans="2:16" x14ac:dyDescent="0.25">
      <c r="B35" s="511"/>
      <c r="C35" s="179"/>
      <c r="D35" s="170"/>
      <c r="E35" s="171"/>
      <c r="F35" s="230"/>
      <c r="G35" s="227"/>
      <c r="H35" s="176"/>
      <c r="I35" s="214"/>
      <c r="J35" s="171"/>
      <c r="K35" s="217"/>
      <c r="L35" s="171"/>
      <c r="M35" s="217"/>
      <c r="N35" s="171"/>
      <c r="O35" s="217"/>
      <c r="P35" s="180"/>
    </row>
    <row r="36" spans="2:16" x14ac:dyDescent="0.25">
      <c r="B36" s="511"/>
      <c r="C36" s="177"/>
      <c r="D36" s="172"/>
      <c r="E36" s="173"/>
      <c r="F36" s="229"/>
      <c r="G36" s="226"/>
      <c r="H36" s="176"/>
      <c r="I36" s="213"/>
      <c r="J36" s="173"/>
      <c r="K36" s="216"/>
      <c r="L36" s="173"/>
      <c r="M36" s="216"/>
      <c r="N36" s="173"/>
      <c r="O36" s="216"/>
      <c r="P36" s="178"/>
    </row>
    <row r="37" spans="2:16" x14ac:dyDescent="0.25">
      <c r="B37" s="511"/>
      <c r="C37" s="179"/>
      <c r="D37" s="170"/>
      <c r="E37" s="171"/>
      <c r="F37" s="230"/>
      <c r="G37" s="227"/>
      <c r="H37" s="176"/>
      <c r="I37" s="214"/>
      <c r="J37" s="171"/>
      <c r="K37" s="217"/>
      <c r="L37" s="171"/>
      <c r="M37" s="217"/>
      <c r="N37" s="171"/>
      <c r="O37" s="217"/>
      <c r="P37" s="180"/>
    </row>
    <row r="38" spans="2:16" x14ac:dyDescent="0.25">
      <c r="B38" s="511"/>
      <c r="C38" s="177"/>
      <c r="D38" s="172"/>
      <c r="E38" s="173"/>
      <c r="F38" s="229"/>
      <c r="G38" s="226"/>
      <c r="H38" s="176"/>
      <c r="I38" s="213"/>
      <c r="J38" s="173"/>
      <c r="K38" s="216"/>
      <c r="L38" s="173"/>
      <c r="M38" s="216"/>
      <c r="N38" s="173"/>
      <c r="O38" s="216"/>
      <c r="P38" s="178"/>
    </row>
    <row r="39" spans="2:16" x14ac:dyDescent="0.25">
      <c r="B39" s="511"/>
      <c r="C39" s="179"/>
      <c r="D39" s="170"/>
      <c r="E39" s="171"/>
      <c r="F39" s="230"/>
      <c r="G39" s="227"/>
      <c r="H39" s="176"/>
      <c r="I39" s="214"/>
      <c r="J39" s="171"/>
      <c r="K39" s="217"/>
      <c r="L39" s="171"/>
      <c r="M39" s="217"/>
      <c r="N39" s="171"/>
      <c r="O39" s="217"/>
      <c r="P39" s="180"/>
    </row>
    <row r="40" spans="2:16" x14ac:dyDescent="0.25">
      <c r="B40" s="511"/>
      <c r="C40" s="177"/>
      <c r="D40" s="172"/>
      <c r="E40" s="173"/>
      <c r="F40" s="229"/>
      <c r="G40" s="226"/>
      <c r="H40" s="176"/>
      <c r="I40" s="213"/>
      <c r="J40" s="173"/>
      <c r="K40" s="216"/>
      <c r="L40" s="173"/>
      <c r="M40" s="216"/>
      <c r="N40" s="173"/>
      <c r="O40" s="216"/>
      <c r="P40" s="178"/>
    </row>
    <row r="41" spans="2:16" x14ac:dyDescent="0.25">
      <c r="B41" s="511"/>
      <c r="C41" s="179"/>
      <c r="D41" s="170"/>
      <c r="E41" s="171"/>
      <c r="F41" s="230"/>
      <c r="G41" s="227"/>
      <c r="H41" s="176"/>
      <c r="I41" s="214"/>
      <c r="J41" s="171"/>
      <c r="K41" s="217"/>
      <c r="L41" s="171"/>
      <c r="M41" s="217"/>
      <c r="N41" s="171"/>
      <c r="O41" s="217"/>
      <c r="P41" s="180"/>
    </row>
    <row r="42" spans="2:16" x14ac:dyDescent="0.25">
      <c r="B42" s="511"/>
      <c r="C42" s="177"/>
      <c r="D42" s="172"/>
      <c r="E42" s="173"/>
      <c r="F42" s="229"/>
      <c r="G42" s="226"/>
      <c r="H42" s="176"/>
      <c r="I42" s="213"/>
      <c r="J42" s="173"/>
      <c r="K42" s="216"/>
      <c r="L42" s="173"/>
      <c r="M42" s="216"/>
      <c r="N42" s="173"/>
      <c r="O42" s="216"/>
      <c r="P42" s="178"/>
    </row>
    <row r="43" spans="2:16" x14ac:dyDescent="0.25">
      <c r="B43" s="511"/>
      <c r="C43" s="179"/>
      <c r="D43" s="170"/>
      <c r="E43" s="171"/>
      <c r="F43" s="230"/>
      <c r="G43" s="227"/>
      <c r="H43" s="176"/>
      <c r="I43" s="214"/>
      <c r="J43" s="171"/>
      <c r="K43" s="217"/>
      <c r="L43" s="171"/>
      <c r="M43" s="217"/>
      <c r="N43" s="171"/>
      <c r="O43" s="217"/>
      <c r="P43" s="180"/>
    </row>
    <row r="44" spans="2:16" x14ac:dyDescent="0.25">
      <c r="B44" s="511"/>
      <c r="C44" s="177"/>
      <c r="D44" s="172"/>
      <c r="E44" s="173"/>
      <c r="F44" s="229"/>
      <c r="G44" s="226"/>
      <c r="H44" s="176"/>
      <c r="I44" s="213"/>
      <c r="J44" s="173"/>
      <c r="K44" s="216"/>
      <c r="L44" s="173"/>
      <c r="M44" s="216"/>
      <c r="N44" s="173"/>
      <c r="O44" s="216"/>
      <c r="P44" s="178"/>
    </row>
    <row r="45" spans="2:16" x14ac:dyDescent="0.25">
      <c r="B45" s="511"/>
      <c r="C45" s="179"/>
      <c r="D45" s="170"/>
      <c r="E45" s="171"/>
      <c r="F45" s="230"/>
      <c r="G45" s="227"/>
      <c r="H45" s="176"/>
      <c r="I45" s="214"/>
      <c r="J45" s="171"/>
      <c r="K45" s="217"/>
      <c r="L45" s="171"/>
      <c r="M45" s="217"/>
      <c r="N45" s="171"/>
      <c r="O45" s="217"/>
      <c r="P45" s="180"/>
    </row>
    <row r="46" spans="2:16" x14ac:dyDescent="0.25">
      <c r="B46" s="511"/>
      <c r="C46" s="177"/>
      <c r="D46" s="172"/>
      <c r="E46" s="173"/>
      <c r="F46" s="229"/>
      <c r="G46" s="226"/>
      <c r="H46" s="176"/>
      <c r="I46" s="213"/>
      <c r="J46" s="173"/>
      <c r="K46" s="216"/>
      <c r="L46" s="173"/>
      <c r="M46" s="216"/>
      <c r="N46" s="173"/>
      <c r="O46" s="216"/>
      <c r="P46" s="178"/>
    </row>
    <row r="47" spans="2:16" x14ac:dyDescent="0.25">
      <c r="B47" s="511"/>
      <c r="C47" s="179"/>
      <c r="D47" s="170"/>
      <c r="E47" s="171"/>
      <c r="F47" s="230"/>
      <c r="G47" s="227"/>
      <c r="H47" s="176"/>
      <c r="I47" s="214"/>
      <c r="J47" s="171"/>
      <c r="K47" s="217"/>
      <c r="L47" s="171"/>
      <c r="M47" s="217"/>
      <c r="N47" s="171"/>
      <c r="O47" s="217"/>
      <c r="P47" s="180"/>
    </row>
    <row r="48" spans="2:16" x14ac:dyDescent="0.25">
      <c r="B48" s="511"/>
      <c r="C48" s="177"/>
      <c r="D48" s="172"/>
      <c r="E48" s="173"/>
      <c r="F48" s="229"/>
      <c r="G48" s="226"/>
      <c r="H48" s="176"/>
      <c r="I48" s="213"/>
      <c r="J48" s="173"/>
      <c r="K48" s="216"/>
      <c r="L48" s="173"/>
      <c r="M48" s="216"/>
      <c r="N48" s="173"/>
      <c r="O48" s="216"/>
      <c r="P48" s="178"/>
    </row>
    <row r="49" spans="2:16" x14ac:dyDescent="0.25">
      <c r="B49" s="511"/>
      <c r="C49" s="179"/>
      <c r="D49" s="170"/>
      <c r="E49" s="171"/>
      <c r="F49" s="230"/>
      <c r="G49" s="227"/>
      <c r="H49" s="176"/>
      <c r="I49" s="214"/>
      <c r="J49" s="171"/>
      <c r="K49" s="217"/>
      <c r="L49" s="171"/>
      <c r="M49" s="217"/>
      <c r="N49" s="171"/>
      <c r="O49" s="217"/>
      <c r="P49" s="180"/>
    </row>
    <row r="50" spans="2:16" ht="15.75" thickBot="1" x14ac:dyDescent="0.3">
      <c r="B50" s="512"/>
      <c r="C50" s="189"/>
      <c r="D50" s="172"/>
      <c r="E50" s="173"/>
      <c r="F50" s="229"/>
      <c r="G50" s="226"/>
      <c r="H50" s="176"/>
      <c r="I50" s="213"/>
      <c r="J50" s="173"/>
      <c r="K50" s="216"/>
      <c r="L50" s="173"/>
      <c r="M50" s="216"/>
      <c r="N50" s="173"/>
      <c r="O50" s="216"/>
      <c r="P50" s="178"/>
    </row>
    <row r="51" spans="2:16" ht="15.75" thickBot="1" x14ac:dyDescent="0.3">
      <c r="C51" s="255" t="str">
        <f>'P&amp;L'!$H$3</f>
        <v>[COMPANY TICKER]</v>
      </c>
      <c r="D51" s="256" t="str" cm="1">
        <f t="array" ref="D51">IFERROR(IF($C$10&lt;&gt;"",_xll.BDP($C51,D$7),'P&amp;L'!$H$3),'P&amp;L'!$H$3)</f>
        <v>[COMPANY TICKER]</v>
      </c>
      <c r="E51" s="257"/>
      <c r="F51" s="258"/>
      <c r="G51" s="259"/>
      <c r="H51" s="176"/>
      <c r="I51" s="260"/>
      <c r="J51" s="257"/>
      <c r="K51" s="261"/>
      <c r="L51" s="257"/>
      <c r="M51" s="261"/>
      <c r="N51" s="257"/>
      <c r="O51" s="261"/>
      <c r="P51" s="262"/>
    </row>
    <row r="52" spans="2:16" ht="15.75" thickBot="1" x14ac:dyDescent="0.3"/>
    <row r="53" spans="2:16" ht="15.75" x14ac:dyDescent="0.25">
      <c r="D53" s="184" t="s">
        <v>108</v>
      </c>
      <c r="E53" s="501" t="str">
        <f>IFERROR(AVERAGE(F31:F50),"...")</f>
        <v>...</v>
      </c>
      <c r="F53" s="502"/>
      <c r="G53" s="503"/>
      <c r="H53" s="243"/>
      <c r="I53" s="244" t="str">
        <f t="shared" ref="I53:P53" si="5">IFERROR(AVERAGE(I31:I50),"...")</f>
        <v>...</v>
      </c>
      <c r="J53" s="185" t="str">
        <f t="shared" si="5"/>
        <v>...</v>
      </c>
      <c r="K53" s="185" t="str">
        <f t="shared" si="5"/>
        <v>...</v>
      </c>
      <c r="L53" s="185" t="str">
        <f t="shared" si="5"/>
        <v>...</v>
      </c>
      <c r="M53" s="185" t="str">
        <f t="shared" si="5"/>
        <v>...</v>
      </c>
      <c r="N53" s="185" t="str">
        <f t="shared" si="5"/>
        <v>...</v>
      </c>
      <c r="O53" s="185" t="str">
        <f t="shared" si="5"/>
        <v>...</v>
      </c>
      <c r="P53" s="186" t="str">
        <f t="shared" si="5"/>
        <v>...</v>
      </c>
    </row>
    <row r="54" spans="2:16" ht="16.5" thickBot="1" x14ac:dyDescent="0.3">
      <c r="D54" s="240" t="s">
        <v>109</v>
      </c>
      <c r="E54" s="504" t="str">
        <f>IFERROR(MEDIAN(F31:F50),"…")</f>
        <v>…</v>
      </c>
      <c r="F54" s="505"/>
      <c r="G54" s="506"/>
      <c r="H54" s="243"/>
      <c r="I54" s="245" t="str">
        <f t="shared" ref="I54:P54" si="6">IFERROR(MEDIAN(I31:I50),"…")</f>
        <v>…</v>
      </c>
      <c r="J54" s="187" t="str">
        <f t="shared" si="6"/>
        <v>…</v>
      </c>
      <c r="K54" s="187" t="str">
        <f t="shared" si="6"/>
        <v>…</v>
      </c>
      <c r="L54" s="187" t="str">
        <f t="shared" si="6"/>
        <v>…</v>
      </c>
      <c r="M54" s="187" t="str">
        <f t="shared" si="6"/>
        <v>…</v>
      </c>
      <c r="N54" s="187" t="str">
        <f t="shared" si="6"/>
        <v>…</v>
      </c>
      <c r="O54" s="187" t="str">
        <f t="shared" si="6"/>
        <v>…</v>
      </c>
      <c r="P54" s="188" t="str">
        <f t="shared" si="6"/>
        <v>…</v>
      </c>
    </row>
    <row r="56" spans="2:16" ht="16.5" thickBot="1" x14ac:dyDescent="0.3"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</row>
    <row r="57" spans="2:16" ht="15.75" x14ac:dyDescent="0.25">
      <c r="D57" s="241" t="s">
        <v>113</v>
      </c>
      <c r="E57" s="495" t="str">
        <f>IFERROR(F51-E$53,"")</f>
        <v/>
      </c>
      <c r="F57" s="496"/>
      <c r="G57" s="497"/>
      <c r="H57" s="252"/>
      <c r="I57" s="246" t="str">
        <f t="shared" ref="I57:J58" si="7">IFERROR((I53-I$51)/I$51,"")</f>
        <v/>
      </c>
      <c r="J57" s="248" t="str">
        <f t="shared" si="7"/>
        <v/>
      </c>
      <c r="K57" s="247" t="str">
        <f>IFERROR((K53-K$51)/K$51,"")</f>
        <v/>
      </c>
      <c r="L57" s="248" t="str">
        <f t="shared" ref="L57:P58" si="8">IFERROR((L53-L$51)/L$51,"")</f>
        <v/>
      </c>
      <c r="M57" s="247" t="str">
        <f t="shared" si="8"/>
        <v/>
      </c>
      <c r="N57" s="248" t="str">
        <f t="shared" si="8"/>
        <v/>
      </c>
      <c r="O57" s="247" t="str">
        <f t="shared" si="8"/>
        <v/>
      </c>
      <c r="P57" s="253" t="str">
        <f t="shared" si="8"/>
        <v/>
      </c>
    </row>
    <row r="58" spans="2:16" ht="16.5" thickBot="1" x14ac:dyDescent="0.3">
      <c r="D58" s="242" t="s">
        <v>114</v>
      </c>
      <c r="E58" s="498" t="str">
        <f>IFERROR((F51-E$54),"")</f>
        <v/>
      </c>
      <c r="F58" s="499"/>
      <c r="G58" s="500"/>
      <c r="H58" s="252"/>
      <c r="I58" s="249" t="str">
        <f t="shared" si="7"/>
        <v/>
      </c>
      <c r="J58" s="251" t="str">
        <f t="shared" si="7"/>
        <v/>
      </c>
      <c r="K58" s="250" t="str">
        <f>IFERROR((K54-K$51)/K$51,"")</f>
        <v/>
      </c>
      <c r="L58" s="251" t="str">
        <f t="shared" si="8"/>
        <v/>
      </c>
      <c r="M58" s="250" t="str">
        <f t="shared" si="8"/>
        <v/>
      </c>
      <c r="N58" s="251" t="str">
        <f t="shared" si="8"/>
        <v/>
      </c>
      <c r="O58" s="250" t="str">
        <f t="shared" si="8"/>
        <v/>
      </c>
      <c r="P58" s="254" t="str">
        <f t="shared" si="8"/>
        <v/>
      </c>
    </row>
    <row r="60" spans="2:16" ht="15.75" thickBot="1" x14ac:dyDescent="0.3"/>
    <row r="61" spans="2:16" ht="16.5" thickBot="1" x14ac:dyDescent="0.3">
      <c r="D61" s="202" t="s">
        <v>152</v>
      </c>
      <c r="E61" s="231" t="e">
        <f>AVERAGE(I57:J57)</f>
        <v>#DIV/0!</v>
      </c>
    </row>
    <row r="62" spans="2:16" ht="16.5" thickBot="1" x14ac:dyDescent="0.3">
      <c r="D62" s="202" t="s">
        <v>153</v>
      </c>
      <c r="E62" s="231" t="e">
        <f>AVERAGE(I58:J58)</f>
        <v>#DIV/0!</v>
      </c>
    </row>
    <row r="63" spans="2:16" ht="15.75" thickBot="1" x14ac:dyDescent="0.3"/>
    <row r="64" spans="2:16" ht="16.5" thickBot="1" x14ac:dyDescent="0.3">
      <c r="D64" s="192" t="str">
        <f>"Bloom "&amp;'P&amp;L'!$H$3</f>
        <v>Bloom [COMPANY TICKER]</v>
      </c>
      <c r="E64" s="203" t="str" cm="1">
        <f t="array" aca="1" ref="E64" ca="1">IFERROR(IF(_xll.BDP($C51,E$9)&lt;&gt;"#N/A N/A",_xll.BDP($C51,E$9),""),"#N/A BLOOM")</f>
        <v>#N/A BLOOM</v>
      </c>
      <c r="F64" s="218" t="str" cm="1">
        <f t="array" aca="1" ref="F64" ca="1">IFERROR(IF(_xll.BDP($C51,F$9)&lt;&gt;"#N/A N/A",_xll.BDP($C51,F$9)/100,""),"#N/A BLOOM")</f>
        <v>#N/A BLOOM</v>
      </c>
      <c r="G64" s="222" t="str" cm="1">
        <f t="array" aca="1" ref="G64" ca="1">IFERROR(IF(_xll.BDP($C51,G$9)&lt;&gt;"#N/A N/A",_xll.BDP($C51,G$9)/1000000000,""),"#N/A BLOOM")</f>
        <v>#N/A BLOOM</v>
      </c>
      <c r="H64" s="195"/>
      <c r="I64" s="223" t="str" cm="1">
        <f t="array" aca="1" ref="I64" ca="1">IFERROR(IF(_xll.BDP($C51,I$9)&lt;&gt;"#N/A N/A",_xll.BDP($C51,I$9),""),"#N/A BLOOM")</f>
        <v>#N/A BLOOM</v>
      </c>
      <c r="J64" s="193" t="str" cm="1">
        <f t="array" aca="1" ref="J64" ca="1">IFERROR(IF(_xll.BDP($C51,J$9)&lt;&gt;"#N/A N/A",_xll.BDP($C51,J$9),""),"#N/A BLOOM")</f>
        <v>#N/A BLOOM</v>
      </c>
      <c r="K64" s="204" t="str" cm="1">
        <f t="array" aca="1" ref="K64" ca="1">IFERROR(IF(_xll.BDP($C51,K$9)&lt;&gt;"#N/A N/A",_xll.BDP($C51,K$9),""),"#N/A BLOOM")</f>
        <v>#N/A BLOOM</v>
      </c>
      <c r="L64" s="224" t="str" cm="1">
        <f t="array" aca="1" ref="L64" ca="1">IFERROR(IF(_xll.BDP($C51,L$9)&lt;&gt;"#N/A N/A",_xll.BDP($C51,L$9),""),"#N/A BLOOM")</f>
        <v>#N/A BLOOM</v>
      </c>
      <c r="M64" s="193" t="str" cm="1">
        <f t="array" aca="1" ref="M64" ca="1">IFERROR(IF(_xll.BDP($C51,M$9)&lt;&gt;"#N/A N/A",_xll.BDP($C51,M$9),""),"#N/A BLOOM")</f>
        <v>#N/A BLOOM</v>
      </c>
      <c r="N64" s="224" t="str" cm="1">
        <f t="array" aca="1" ref="N64" ca="1">IFERROR(IF(_xll.BDP($C51,N$9)&lt;&gt;"#N/A N/A",_xll.BDP($C51,N$9),""),"#N/A BLOOM")</f>
        <v>#N/A BLOOM</v>
      </c>
      <c r="O64" s="204" t="str" cm="1">
        <f t="array" aca="1" ref="O64" ca="1">IFERROR(IF(_xll.BDP($C51,O$9)&lt;&gt;"#N/A N/A",_xll.BDP($C51,O$9),""),"#N/A BLOOM")</f>
        <v>#N/A BLOOM</v>
      </c>
      <c r="P64" s="194" t="str" cm="1">
        <f t="array" aca="1" ref="P64" ca="1">IFERROR(IF(_xll.BDP($C51,P$9)&lt;&gt;"#N/A N/A",_xll.BDP($C51,P$9),""),"#N/A BLOOM")</f>
        <v>#N/A BLOOM</v>
      </c>
    </row>
    <row r="81" spans="3:3" x14ac:dyDescent="0.25">
      <c r="C81" s="169" t="s">
        <v>110</v>
      </c>
    </row>
  </sheetData>
  <mergeCells count="17">
    <mergeCell ref="E57:G57"/>
    <mergeCell ref="E58:G58"/>
    <mergeCell ref="E53:G53"/>
    <mergeCell ref="E54:G54"/>
    <mergeCell ref="B10:B29"/>
    <mergeCell ref="B31:B50"/>
    <mergeCell ref="F2:L3"/>
    <mergeCell ref="F4:L5"/>
    <mergeCell ref="O7:P7"/>
    <mergeCell ref="C7:C9"/>
    <mergeCell ref="D7:D9"/>
    <mergeCell ref="E7:E8"/>
    <mergeCell ref="F7:F8"/>
    <mergeCell ref="G7:G8"/>
    <mergeCell ref="I7:J7"/>
    <mergeCell ref="K7:L7"/>
    <mergeCell ref="M7:N7"/>
  </mergeCells>
  <conditionalFormatting sqref="F31:F51">
    <cfRule type="dataBar" priority="2">
      <dataBar>
        <cfvo type="num" val="-1"/>
        <cfvo type="max"/>
        <color theme="6"/>
      </dataBar>
      <extLst>
        <ext xmlns:x14="http://schemas.microsoft.com/office/spreadsheetml/2009/9/main" uri="{B025F937-C7B1-47D3-B67F-A62EFF666E3E}">
          <x14:id>{70986D31-BFA2-46FE-B7FB-A05A2938DC7E}</x14:id>
        </ext>
      </extLst>
    </cfRule>
  </conditionalFormatting>
  <conditionalFormatting sqref="G31:G51">
    <cfRule type="colorScale" priority="1">
      <colorScale>
        <cfvo type="num" val="0"/>
        <cfvo type="max"/>
        <color theme="1" tint="0.249977111117893"/>
        <color theme="9" tint="-0.499984740745262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986D31-BFA2-46FE-B7FB-A05A2938DC7E}">
            <x14:dataBar minLength="0" maxLength="100" gradient="0">
              <x14:cfvo type="num">
                <xm:f>-1</xm:f>
              </x14:cfvo>
              <x14:cfvo type="autoMax"/>
              <x14:negativeFillColor rgb="FFFF0000"/>
              <x14:axisColor rgb="FF000000"/>
            </x14:dataBar>
          </x14:cfRule>
          <xm:sqref>F31:F51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F99D-0FB3-496F-B9B7-AAF3FE5C8E76}">
  <sheetPr codeName="Sheet4">
    <tabColor theme="6" tint="-0.249977111117893"/>
  </sheetPr>
  <dimension ref="A1:AC63"/>
  <sheetViews>
    <sheetView showGridLines="0" topLeftCell="B1" zoomScale="125" zoomScaleNormal="125" workbookViewId="0">
      <pane ySplit="6" topLeftCell="A7" activePane="bottomLeft" state="frozen"/>
      <selection pane="bottomLeft" activeCell="F10" sqref="F10"/>
    </sheetView>
  </sheetViews>
  <sheetFormatPr defaultColWidth="0" defaultRowHeight="15" x14ac:dyDescent="0.25"/>
  <cols>
    <col min="1" max="5" width="8.85546875" style="31" customWidth="1"/>
    <col min="6" max="6" width="24.7109375" style="263" customWidth="1"/>
    <col min="7" max="11" width="12.42578125" style="31" customWidth="1"/>
    <col min="12" max="12" width="13.140625" style="31" customWidth="1"/>
    <col min="13" max="13" width="13.85546875" style="31" customWidth="1"/>
    <col min="14" max="14" width="12.42578125" style="273" customWidth="1"/>
    <col min="15" max="15" width="44.140625" style="31" customWidth="1"/>
    <col min="16" max="29" width="0" style="31" hidden="1" customWidth="1"/>
    <col min="30" max="16384" width="9.140625" style="31" hidden="1"/>
  </cols>
  <sheetData>
    <row r="1" spans="6:23" ht="11.25" customHeight="1" thickBot="1" x14ac:dyDescent="0.3"/>
    <row r="2" spans="6:23" ht="12.75" customHeight="1" thickTop="1" x14ac:dyDescent="0.25">
      <c r="F2" s="278"/>
      <c r="G2" s="279"/>
      <c r="H2" s="515" t="s">
        <v>134</v>
      </c>
      <c r="I2" s="515"/>
      <c r="J2" s="515"/>
      <c r="K2" s="515"/>
      <c r="L2" s="308"/>
      <c r="M2" s="304" t="s">
        <v>140</v>
      </c>
      <c r="N2" s="309">
        <f>L32</f>
        <v>0</v>
      </c>
    </row>
    <row r="3" spans="6:23" ht="12.75" customHeight="1" x14ac:dyDescent="0.35">
      <c r="F3" s="280"/>
      <c r="G3" s="276"/>
      <c r="H3" s="516"/>
      <c r="I3" s="516"/>
      <c r="J3" s="516"/>
      <c r="K3" s="516"/>
      <c r="L3" s="277"/>
      <c r="M3" s="283" t="s">
        <v>139</v>
      </c>
      <c r="N3" s="409" t="str">
        <f ca="1">DCF!$P$3</f>
        <v/>
      </c>
    </row>
    <row r="4" spans="6:23" ht="12.75" customHeight="1" x14ac:dyDescent="0.35">
      <c r="F4" s="280"/>
      <c r="G4" s="276"/>
      <c r="H4" s="525"/>
      <c r="I4" s="525"/>
      <c r="J4" s="525"/>
      <c r="K4" s="525"/>
      <c r="L4" s="305"/>
      <c r="M4" s="283" t="s">
        <v>129</v>
      </c>
      <c r="N4" s="409" t="e">
        <f>L33</f>
        <v>#DIV/0!</v>
      </c>
      <c r="U4" s="264"/>
      <c r="V4" s="264"/>
      <c r="W4" s="264"/>
    </row>
    <row r="5" spans="6:23" ht="12.75" customHeight="1" thickBot="1" x14ac:dyDescent="0.35">
      <c r="F5" s="281"/>
      <c r="G5" s="282"/>
      <c r="H5" s="526"/>
      <c r="I5" s="526"/>
      <c r="J5" s="526"/>
      <c r="K5" s="526"/>
      <c r="L5" s="307"/>
      <c r="M5" s="306" t="s">
        <v>76</v>
      </c>
      <c r="N5" s="310" t="e">
        <f ca="1">N4/N3-1</f>
        <v>#DIV/0!</v>
      </c>
      <c r="U5" s="265"/>
      <c r="V5" s="265"/>
      <c r="W5" s="265"/>
    </row>
    <row r="6" spans="6:23" ht="11.25" customHeight="1" thickTop="1" x14ac:dyDescent="0.25"/>
    <row r="7" spans="6:23" ht="3.75" customHeight="1" thickBot="1" x14ac:dyDescent="0.3"/>
    <row r="8" spans="6:23" x14ac:dyDescent="0.25">
      <c r="F8" s="513" t="s">
        <v>137</v>
      </c>
      <c r="G8" s="531" t="s">
        <v>119</v>
      </c>
      <c r="H8" s="531"/>
      <c r="I8" s="532" t="s">
        <v>95</v>
      </c>
      <c r="J8" s="533"/>
      <c r="K8" s="531" t="s">
        <v>120</v>
      </c>
      <c r="L8" s="531"/>
      <c r="M8" s="529" t="s">
        <v>121</v>
      </c>
      <c r="N8" s="530"/>
    </row>
    <row r="9" spans="6:23" ht="15.75" thickBot="1" x14ac:dyDescent="0.3">
      <c r="F9" s="514"/>
      <c r="G9" s="266">
        <f t="shared" ref="G9" ca="1" si="0">YEAR(TODAY())</f>
        <v>2025</v>
      </c>
      <c r="H9" s="266">
        <f t="shared" ref="H9" ca="1" si="1">G9+1</f>
        <v>2026</v>
      </c>
      <c r="I9" s="267">
        <f t="shared" ref="I9" ca="1" si="2">YEAR(TODAY())</f>
        <v>2025</v>
      </c>
      <c r="J9" s="268">
        <f t="shared" ref="J9" ca="1" si="3">I9+1</f>
        <v>2026</v>
      </c>
      <c r="K9" s="266">
        <f t="shared" ref="K9" ca="1" si="4">YEAR(TODAY())</f>
        <v>2025</v>
      </c>
      <c r="L9" s="266">
        <f t="shared" ref="L9" ca="1" si="5">K9+1</f>
        <v>2026</v>
      </c>
      <c r="M9" s="269" t="s">
        <v>125</v>
      </c>
      <c r="N9" s="274" t="s">
        <v>123</v>
      </c>
    </row>
    <row r="10" spans="6:23" x14ac:dyDescent="0.25">
      <c r="F10" s="291"/>
      <c r="G10" s="292"/>
      <c r="H10" s="293"/>
      <c r="I10" s="293"/>
      <c r="J10" s="293"/>
      <c r="K10" s="293"/>
      <c r="L10" s="293"/>
      <c r="M10" s="404"/>
      <c r="N10" s="405" t="str">
        <f t="shared" ref="N10:N23" si="6">IF(M10&lt;&gt;"",M10/$L$32,"")</f>
        <v/>
      </c>
      <c r="O10" s="270"/>
    </row>
    <row r="11" spans="6:23" x14ac:dyDescent="0.25">
      <c r="F11" s="294"/>
      <c r="G11" s="295"/>
      <c r="H11" s="296"/>
      <c r="I11" s="296"/>
      <c r="J11" s="296"/>
      <c r="K11" s="296"/>
      <c r="L11" s="296"/>
      <c r="M11" s="406"/>
      <c r="N11" s="407" t="str">
        <f t="shared" si="6"/>
        <v/>
      </c>
      <c r="O11" s="270"/>
    </row>
    <row r="12" spans="6:23" x14ac:dyDescent="0.25">
      <c r="F12" s="294"/>
      <c r="G12" s="295"/>
      <c r="H12" s="296"/>
      <c r="I12" s="296"/>
      <c r="J12" s="296"/>
      <c r="K12" s="296"/>
      <c r="L12" s="296"/>
      <c r="M12" s="406"/>
      <c r="N12" s="407" t="str">
        <f t="shared" si="6"/>
        <v/>
      </c>
      <c r="O12" s="270"/>
    </row>
    <row r="13" spans="6:23" x14ac:dyDescent="0.25">
      <c r="F13" s="294"/>
      <c r="G13" s="295"/>
      <c r="H13" s="296"/>
      <c r="I13" s="296"/>
      <c r="J13" s="296"/>
      <c r="K13" s="296"/>
      <c r="L13" s="296"/>
      <c r="M13" s="406"/>
      <c r="N13" s="407" t="str">
        <f t="shared" si="6"/>
        <v/>
      </c>
    </row>
    <row r="14" spans="6:23" x14ac:dyDescent="0.25">
      <c r="F14" s="294"/>
      <c r="G14" s="295"/>
      <c r="H14" s="296"/>
      <c r="I14" s="296"/>
      <c r="J14" s="296"/>
      <c r="K14" s="296"/>
      <c r="L14" s="296"/>
      <c r="M14" s="406"/>
      <c r="N14" s="407" t="str">
        <f t="shared" si="6"/>
        <v/>
      </c>
    </row>
    <row r="15" spans="6:23" x14ac:dyDescent="0.25">
      <c r="F15" s="294"/>
      <c r="G15" s="295"/>
      <c r="H15" s="296"/>
      <c r="I15" s="296"/>
      <c r="J15" s="296"/>
      <c r="K15" s="296"/>
      <c r="L15" s="296"/>
      <c r="M15" s="406"/>
      <c r="N15" s="407" t="str">
        <f t="shared" si="6"/>
        <v/>
      </c>
    </row>
    <row r="16" spans="6:23" x14ac:dyDescent="0.25">
      <c r="F16" s="294"/>
      <c r="G16" s="295"/>
      <c r="H16" s="296"/>
      <c r="I16" s="296"/>
      <c r="J16" s="296"/>
      <c r="K16" s="296"/>
      <c r="L16" s="296"/>
      <c r="M16" s="406"/>
      <c r="N16" s="407" t="str">
        <f t="shared" si="6"/>
        <v/>
      </c>
    </row>
    <row r="17" spans="6:14" x14ac:dyDescent="0.25">
      <c r="F17" s="294"/>
      <c r="G17" s="295"/>
      <c r="H17" s="296"/>
      <c r="I17" s="296"/>
      <c r="J17" s="296"/>
      <c r="K17" s="296"/>
      <c r="L17" s="296"/>
      <c r="M17" s="406"/>
      <c r="N17" s="407" t="str">
        <f t="shared" si="6"/>
        <v/>
      </c>
    </row>
    <row r="18" spans="6:14" x14ac:dyDescent="0.25">
      <c r="F18" s="294"/>
      <c r="G18" s="295"/>
      <c r="H18" s="296"/>
      <c r="I18" s="296"/>
      <c r="J18" s="296"/>
      <c r="K18" s="296"/>
      <c r="L18" s="296"/>
      <c r="M18" s="406"/>
      <c r="N18" s="407" t="str">
        <f t="shared" si="6"/>
        <v/>
      </c>
    </row>
    <row r="19" spans="6:14" x14ac:dyDescent="0.25">
      <c r="F19" s="294"/>
      <c r="G19" s="295"/>
      <c r="H19" s="296"/>
      <c r="I19" s="296"/>
      <c r="J19" s="296"/>
      <c r="K19" s="296"/>
      <c r="L19" s="296"/>
      <c r="M19" s="406"/>
      <c r="N19" s="407" t="str">
        <f t="shared" si="6"/>
        <v/>
      </c>
    </row>
    <row r="20" spans="6:14" x14ac:dyDescent="0.25">
      <c r="F20" s="294"/>
      <c r="G20" s="295"/>
      <c r="H20" s="296"/>
      <c r="I20" s="296"/>
      <c r="J20" s="296"/>
      <c r="K20" s="296"/>
      <c r="L20" s="296"/>
      <c r="M20" s="406"/>
      <c r="N20" s="407" t="str">
        <f t="shared" si="6"/>
        <v/>
      </c>
    </row>
    <row r="21" spans="6:14" x14ac:dyDescent="0.25">
      <c r="F21" s="294"/>
      <c r="G21" s="295"/>
      <c r="H21" s="296"/>
      <c r="I21" s="296"/>
      <c r="J21" s="296"/>
      <c r="K21" s="296"/>
      <c r="L21" s="296"/>
      <c r="M21" s="406"/>
      <c r="N21" s="407" t="str">
        <f t="shared" si="6"/>
        <v/>
      </c>
    </row>
    <row r="22" spans="6:14" x14ac:dyDescent="0.25">
      <c r="F22" s="294"/>
      <c r="G22" s="295"/>
      <c r="H22" s="296"/>
      <c r="I22" s="296"/>
      <c r="J22" s="296"/>
      <c r="K22" s="296"/>
      <c r="L22" s="296"/>
      <c r="M22" s="406"/>
      <c r="N22" s="407" t="str">
        <f t="shared" si="6"/>
        <v/>
      </c>
    </row>
    <row r="23" spans="6:14" ht="15.75" thickBot="1" x14ac:dyDescent="0.3">
      <c r="F23" s="294" t="s">
        <v>124</v>
      </c>
      <c r="G23" s="297"/>
      <c r="H23" s="296"/>
      <c r="I23" s="296"/>
      <c r="J23" s="296"/>
      <c r="K23" s="296"/>
      <c r="L23" s="296"/>
      <c r="M23" s="408"/>
      <c r="N23" s="407" t="str">
        <f t="shared" si="6"/>
        <v/>
      </c>
    </row>
    <row r="24" spans="6:14" ht="15.75" thickBot="1" x14ac:dyDescent="0.3">
      <c r="F24" s="289" t="s">
        <v>122</v>
      </c>
      <c r="G24" s="302"/>
      <c r="H24" s="303"/>
      <c r="I24" s="303"/>
      <c r="J24" s="303"/>
      <c r="K24" s="303"/>
      <c r="L24" s="303"/>
      <c r="M24" s="422">
        <f>SUM(M10:M23)</f>
        <v>0</v>
      </c>
      <c r="N24" s="413">
        <f>SUM(N10:N23)</f>
        <v>0</v>
      </c>
    </row>
    <row r="25" spans="6:14" ht="15.75" thickBot="1" x14ac:dyDescent="0.3"/>
    <row r="26" spans="6:14" ht="15.75" thickBot="1" x14ac:dyDescent="0.3">
      <c r="F26" s="286" t="s">
        <v>136</v>
      </c>
      <c r="G26" s="287" t="s">
        <v>125</v>
      </c>
      <c r="H26" s="288" t="s">
        <v>123</v>
      </c>
      <c r="J26" s="523" t="s">
        <v>138</v>
      </c>
      <c r="K26" s="524"/>
      <c r="L26" s="290"/>
      <c r="M26" s="275"/>
      <c r="N26" s="31"/>
    </row>
    <row r="27" spans="6:14" x14ac:dyDescent="0.25">
      <c r="F27" s="298"/>
      <c r="G27" s="414"/>
      <c r="H27" s="415"/>
      <c r="I27" s="284"/>
      <c r="J27" s="517" t="s">
        <v>130</v>
      </c>
      <c r="K27" s="518"/>
      <c r="L27" s="300"/>
      <c r="M27" s="410" t="str">
        <f>IF(L27&lt;&gt;"",L27/$L$32,"")</f>
        <v/>
      </c>
      <c r="N27" s="31"/>
    </row>
    <row r="28" spans="6:14" x14ac:dyDescent="0.25">
      <c r="F28" s="294"/>
      <c r="G28" s="416"/>
      <c r="H28" s="417"/>
      <c r="I28" s="284"/>
      <c r="J28" s="517" t="s">
        <v>131</v>
      </c>
      <c r="K28" s="518"/>
      <c r="L28" s="300"/>
      <c r="M28" s="410" t="str">
        <f>IF(L28&lt;&gt;"",L28/$L$32,"")</f>
        <v/>
      </c>
      <c r="N28" s="31"/>
    </row>
    <row r="29" spans="6:14" x14ac:dyDescent="0.25">
      <c r="F29" s="294"/>
      <c r="G29" s="416"/>
      <c r="H29" s="417"/>
      <c r="I29" s="284"/>
      <c r="J29" s="521" t="s">
        <v>132</v>
      </c>
      <c r="K29" s="522"/>
      <c r="L29" s="412">
        <f>SUM(M24,G43,L27:L28)</f>
        <v>0</v>
      </c>
      <c r="M29" s="411" t="e">
        <f>IF(L29&lt;&gt;"",L29/$L$32,"")</f>
        <v>#DIV/0!</v>
      </c>
      <c r="N29" s="31"/>
    </row>
    <row r="30" spans="6:14" x14ac:dyDescent="0.25">
      <c r="F30" s="294"/>
      <c r="G30" s="416"/>
      <c r="H30" s="417"/>
      <c r="I30" s="284"/>
      <c r="J30" s="517" t="s">
        <v>133</v>
      </c>
      <c r="K30" s="518"/>
      <c r="L30" s="301"/>
      <c r="M30" s="314"/>
      <c r="N30" s="31"/>
    </row>
    <row r="31" spans="6:14" x14ac:dyDescent="0.25">
      <c r="F31" s="294"/>
      <c r="G31" s="416"/>
      <c r="H31" s="417"/>
      <c r="I31" s="284"/>
      <c r="J31" s="521" t="s">
        <v>74</v>
      </c>
      <c r="K31" s="522"/>
      <c r="L31" s="412">
        <f>L29-L30*L29</f>
        <v>0</v>
      </c>
      <c r="M31" s="411" t="e">
        <f>IF(L31&lt;&gt;"",L31/$L$32,"")</f>
        <v>#DIV/0!</v>
      </c>
      <c r="N31" s="31"/>
    </row>
    <row r="32" spans="6:14" ht="15.75" thickBot="1" x14ac:dyDescent="0.3">
      <c r="F32" s="294"/>
      <c r="G32" s="416"/>
      <c r="H32" s="417"/>
      <c r="I32" s="284"/>
      <c r="J32" s="517" t="s">
        <v>127</v>
      </c>
      <c r="K32" s="518"/>
      <c r="L32" s="300"/>
      <c r="M32" s="314"/>
      <c r="N32" s="31"/>
    </row>
    <row r="33" spans="6:15" ht="15.75" thickBot="1" x14ac:dyDescent="0.3">
      <c r="F33" s="294"/>
      <c r="G33" s="416"/>
      <c r="H33" s="417"/>
      <c r="I33" s="284"/>
      <c r="J33" s="519" t="s">
        <v>128</v>
      </c>
      <c r="K33" s="520"/>
      <c r="L33" s="527" t="e">
        <f>L31/L32</f>
        <v>#DIV/0!</v>
      </c>
      <c r="M33" s="528"/>
      <c r="N33" s="31"/>
    </row>
    <row r="34" spans="6:15" x14ac:dyDescent="0.25">
      <c r="F34" s="294"/>
      <c r="G34" s="416"/>
      <c r="H34" s="417"/>
      <c r="I34" s="284"/>
      <c r="N34" s="31"/>
    </row>
    <row r="35" spans="6:15" x14ac:dyDescent="0.25">
      <c r="F35" s="294"/>
      <c r="G35" s="416"/>
      <c r="H35" s="417"/>
      <c r="I35" s="284"/>
      <c r="N35" s="31"/>
    </row>
    <row r="36" spans="6:15" x14ac:dyDescent="0.25">
      <c r="F36" s="294"/>
      <c r="G36" s="416"/>
      <c r="H36" s="417"/>
      <c r="I36" s="284"/>
      <c r="N36" s="31"/>
    </row>
    <row r="37" spans="6:15" x14ac:dyDescent="0.25">
      <c r="F37" s="294"/>
      <c r="G37" s="416"/>
      <c r="H37" s="417"/>
      <c r="I37" s="284"/>
      <c r="N37" s="31"/>
    </row>
    <row r="38" spans="6:15" x14ac:dyDescent="0.25">
      <c r="F38" s="294"/>
      <c r="G38" s="416"/>
      <c r="H38" s="417"/>
      <c r="I38" s="284"/>
      <c r="N38" s="31"/>
    </row>
    <row r="39" spans="6:15" x14ac:dyDescent="0.25">
      <c r="F39" s="294"/>
      <c r="G39" s="416"/>
      <c r="H39" s="417"/>
      <c r="I39" s="284"/>
      <c r="N39" s="31"/>
    </row>
    <row r="40" spans="6:15" x14ac:dyDescent="0.25">
      <c r="F40" s="294"/>
      <c r="G40" s="416"/>
      <c r="H40" s="417"/>
      <c r="I40" s="284"/>
      <c r="N40" s="31"/>
    </row>
    <row r="41" spans="6:15" x14ac:dyDescent="0.25">
      <c r="F41" s="294"/>
      <c r="G41" s="416"/>
      <c r="H41" s="417"/>
      <c r="I41" s="284"/>
      <c r="J41" s="284"/>
      <c r="N41" s="31"/>
    </row>
    <row r="42" spans="6:15" ht="15.75" thickBot="1" x14ac:dyDescent="0.3">
      <c r="F42" s="299"/>
      <c r="G42" s="418"/>
      <c r="H42" s="419"/>
      <c r="I42" s="284"/>
      <c r="J42" s="284"/>
      <c r="N42" s="31"/>
    </row>
    <row r="43" spans="6:15" ht="15.75" thickBot="1" x14ac:dyDescent="0.3">
      <c r="F43" s="289" t="s">
        <v>126</v>
      </c>
      <c r="G43" s="420">
        <f>SUM(G27:G42)</f>
        <v>0</v>
      </c>
      <c r="H43" s="421" t="e">
        <f t="shared" ref="H27:H43" si="7">IF(G43&lt;&gt;"",G43/$L$32,"")</f>
        <v>#DIV/0!</v>
      </c>
      <c r="I43" s="285"/>
      <c r="J43" s="270"/>
      <c r="N43" s="31"/>
    </row>
    <row r="44" spans="6:15" ht="8.25" customHeight="1" x14ac:dyDescent="0.25">
      <c r="F44" s="31"/>
    </row>
    <row r="45" spans="6:15" x14ac:dyDescent="0.25">
      <c r="F45" s="31"/>
      <c r="N45" s="31"/>
      <c r="O45" s="263"/>
    </row>
    <row r="46" spans="6:15" x14ac:dyDescent="0.25">
      <c r="F46" s="31"/>
      <c r="N46" s="31"/>
      <c r="O46" s="263"/>
    </row>
    <row r="47" spans="6:15" x14ac:dyDescent="0.25">
      <c r="F47" s="31"/>
      <c r="N47" s="31"/>
      <c r="O47" s="263"/>
    </row>
    <row r="48" spans="6:15" x14ac:dyDescent="0.25">
      <c r="F48" s="31"/>
      <c r="N48" s="31"/>
      <c r="O48" s="263"/>
    </row>
    <row r="49" spans="6:15" s="272" customFormat="1" x14ac:dyDescent="0.25">
      <c r="G49" s="31"/>
      <c r="H49" s="31"/>
      <c r="I49" s="31"/>
      <c r="J49" s="31"/>
      <c r="K49" s="31"/>
      <c r="L49" s="31"/>
      <c r="O49" s="271"/>
    </row>
    <row r="50" spans="6:15" x14ac:dyDescent="0.25">
      <c r="F50" s="31"/>
      <c r="N50" s="31"/>
      <c r="O50" s="263"/>
    </row>
    <row r="51" spans="6:15" s="272" customFormat="1" x14ac:dyDescent="0.25">
      <c r="G51" s="31"/>
      <c r="H51" s="31"/>
      <c r="I51" s="31"/>
      <c r="J51" s="31"/>
      <c r="K51" s="31"/>
      <c r="L51" s="31"/>
      <c r="O51" s="271"/>
    </row>
    <row r="52" spans="6:15" x14ac:dyDescent="0.25">
      <c r="F52" s="31"/>
      <c r="N52" s="31"/>
      <c r="O52" s="263"/>
    </row>
    <row r="53" spans="6:15" s="272" customFormat="1" x14ac:dyDescent="0.25">
      <c r="G53" s="31"/>
      <c r="H53" s="31"/>
      <c r="I53" s="31"/>
      <c r="J53" s="31"/>
      <c r="K53" s="31"/>
      <c r="L53" s="31"/>
      <c r="O53" s="271"/>
    </row>
    <row r="54" spans="6:15" x14ac:dyDescent="0.25">
      <c r="M54" s="263"/>
      <c r="O54" s="263"/>
    </row>
    <row r="55" spans="6:15" x14ac:dyDescent="0.25">
      <c r="M55" s="263"/>
      <c r="O55" s="263"/>
    </row>
    <row r="56" spans="6:15" x14ac:dyDescent="0.25">
      <c r="G56" s="263"/>
      <c r="I56" s="263"/>
      <c r="K56" s="263"/>
      <c r="M56" s="263"/>
      <c r="O56" s="263"/>
    </row>
    <row r="57" spans="6:15" x14ac:dyDescent="0.25">
      <c r="G57" s="263"/>
      <c r="I57" s="263"/>
      <c r="K57" s="263"/>
      <c r="M57" s="263"/>
      <c r="O57" s="263"/>
    </row>
    <row r="58" spans="6:15" x14ac:dyDescent="0.25">
      <c r="G58" s="263"/>
      <c r="I58" s="263"/>
      <c r="K58" s="263"/>
      <c r="M58" s="263"/>
      <c r="O58" s="263"/>
    </row>
    <row r="59" spans="6:15" x14ac:dyDescent="0.25">
      <c r="G59" s="263"/>
      <c r="I59" s="263"/>
      <c r="K59" s="263"/>
      <c r="M59" s="263"/>
      <c r="O59" s="263"/>
    </row>
    <row r="60" spans="6:15" x14ac:dyDescent="0.25">
      <c r="G60" s="263"/>
      <c r="I60" s="263"/>
      <c r="K60" s="263"/>
      <c r="M60" s="263"/>
      <c r="O60" s="263"/>
    </row>
    <row r="61" spans="6:15" x14ac:dyDescent="0.25">
      <c r="G61" s="263"/>
      <c r="I61" s="263"/>
      <c r="K61" s="263"/>
      <c r="M61" s="263"/>
      <c r="O61" s="263"/>
    </row>
    <row r="62" spans="6:15" x14ac:dyDescent="0.25">
      <c r="G62" s="263"/>
      <c r="I62" s="263"/>
      <c r="K62" s="263"/>
      <c r="M62" s="263"/>
      <c r="O62" s="263"/>
    </row>
    <row r="63" spans="6:15" x14ac:dyDescent="0.25">
      <c r="G63" s="263"/>
      <c r="I63" s="263"/>
      <c r="K63" s="263"/>
      <c r="M63" s="263"/>
      <c r="O63" s="263"/>
    </row>
  </sheetData>
  <mergeCells count="16">
    <mergeCell ref="L33:M33"/>
    <mergeCell ref="M8:N8"/>
    <mergeCell ref="K8:L8"/>
    <mergeCell ref="I8:J8"/>
    <mergeCell ref="G8:H8"/>
    <mergeCell ref="F8:F9"/>
    <mergeCell ref="H2:K3"/>
    <mergeCell ref="J32:K32"/>
    <mergeCell ref="J33:K33"/>
    <mergeCell ref="J27:K27"/>
    <mergeCell ref="J28:K28"/>
    <mergeCell ref="J29:K29"/>
    <mergeCell ref="J30:K30"/>
    <mergeCell ref="J31:K31"/>
    <mergeCell ref="J26:K26"/>
    <mergeCell ref="H4:K5"/>
  </mergeCells>
  <conditionalFormatting sqref="F11:F22">
    <cfRule type="expression" dxfId="8" priority="5">
      <formula>F10&lt;&gt;""</formula>
    </cfRule>
  </conditionalFormatting>
  <conditionalFormatting sqref="I41:J42 I37:I38 I40 F37:G38 F40:G42 F28:F36 G11:M22">
    <cfRule type="expression" dxfId="7" priority="3">
      <formula>$F10&lt;&gt;""</formula>
    </cfRule>
  </conditionalFormatting>
  <conditionalFormatting sqref="J27:K29">
    <cfRule type="expression" dxfId="6" priority="19">
      <formula>$F36&lt;&gt;""</formula>
    </cfRule>
  </conditionalFormatting>
  <conditionalFormatting sqref="J33:L33">
    <cfRule type="expression" dxfId="5" priority="21">
      <formula>$F39&lt;&gt;""</formula>
    </cfRule>
  </conditionalFormatting>
  <conditionalFormatting sqref="F10">
    <cfRule type="expression" dxfId="4" priority="23">
      <formula>F8&lt;&gt;""</formula>
    </cfRule>
  </conditionalFormatting>
  <conditionalFormatting sqref="G10:M10">
    <cfRule type="expression" dxfId="3" priority="25">
      <formula>$F8&lt;&gt;""</formula>
    </cfRule>
  </conditionalFormatting>
  <conditionalFormatting sqref="F39:I39">
    <cfRule type="expression" dxfId="2" priority="27">
      <formula>#REF!&lt;&gt;""</formula>
    </cfRule>
  </conditionalFormatting>
  <conditionalFormatting sqref="J30:K33">
    <cfRule type="expression" dxfId="1" priority="33">
      <formula>#REF!&lt;&gt;""</formula>
    </cfRule>
  </conditionalFormatting>
  <conditionalFormatting sqref="H28:H38 H40:H42">
    <cfRule type="expression" dxfId="0" priority="1">
      <formula>$F27&lt;&gt;""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AC81-F189-4D01-9B56-AC1CC5BD01BB}">
  <sheetPr codeName="Sheet5">
    <tabColor theme="0"/>
  </sheetPr>
  <dimension ref="A7:J15"/>
  <sheetViews>
    <sheetView zoomScale="160" zoomScaleNormal="160" workbookViewId="0">
      <selection activeCell="F15" sqref="F15"/>
    </sheetView>
  </sheetViews>
  <sheetFormatPr defaultColWidth="0" defaultRowHeight="15" x14ac:dyDescent="0.25"/>
  <cols>
    <col min="1" max="1" width="38.7109375" style="31" customWidth="1"/>
    <col min="2" max="2" width="29.140625" style="31" customWidth="1"/>
    <col min="3" max="4" width="6.85546875" style="31" customWidth="1"/>
    <col min="5" max="6" width="22.7109375" style="31" customWidth="1"/>
    <col min="7" max="7" width="38.7109375" style="31" customWidth="1"/>
    <col min="8" max="10" width="0" style="31" hidden="1" customWidth="1"/>
    <col min="11" max="16384" width="9.140625" style="31" hidden="1"/>
  </cols>
  <sheetData>
    <row r="7" spans="2:6" ht="15.75" thickBot="1" x14ac:dyDescent="0.3"/>
    <row r="8" spans="2:6" ht="16.5" thickTop="1" x14ac:dyDescent="0.25">
      <c r="B8" s="320" t="s">
        <v>142</v>
      </c>
      <c r="C8" s="321"/>
      <c r="D8" s="321"/>
      <c r="E8" s="321"/>
      <c r="F8" s="322"/>
    </row>
    <row r="9" spans="2:6" x14ac:dyDescent="0.25">
      <c r="B9" s="327" t="s">
        <v>141</v>
      </c>
      <c r="C9" s="460" t="s">
        <v>148</v>
      </c>
      <c r="D9" s="460"/>
      <c r="E9" s="316" t="s">
        <v>129</v>
      </c>
      <c r="F9" s="328" t="s">
        <v>76</v>
      </c>
    </row>
    <row r="10" spans="2:6" x14ac:dyDescent="0.25">
      <c r="B10" s="323" t="s">
        <v>147</v>
      </c>
      <c r="C10" s="312"/>
      <c r="D10" s="312"/>
      <c r="E10" s="423" t="str">
        <f ca="1">DCF!$P$3</f>
        <v/>
      </c>
      <c r="F10" s="324"/>
    </row>
    <row r="11" spans="2:6" ht="8.25" customHeight="1" x14ac:dyDescent="0.25">
      <c r="B11" s="323"/>
      <c r="C11" s="312"/>
      <c r="D11" s="312"/>
      <c r="E11" s="423"/>
      <c r="F11" s="324"/>
    </row>
    <row r="12" spans="2:6" x14ac:dyDescent="0.25">
      <c r="B12" s="325" t="s">
        <v>144</v>
      </c>
      <c r="C12" s="313">
        <v>1</v>
      </c>
      <c r="D12" s="311">
        <f>C12/SUM($C$12:$C$14)</f>
        <v>0.33333333333333331</v>
      </c>
      <c r="E12" s="424" t="e">
        <f ca="1">DCF!$P$4</f>
        <v>#DIV/0!</v>
      </c>
      <c r="F12" s="326" t="e">
        <f ca="1">DCF!$P$5</f>
        <v>#DIV/0!</v>
      </c>
    </row>
    <row r="13" spans="2:6" x14ac:dyDescent="0.25">
      <c r="B13" s="325" t="s">
        <v>145</v>
      </c>
      <c r="C13" s="313">
        <v>1</v>
      </c>
      <c r="D13" s="311">
        <f t="shared" ref="D13:D14" si="0">C13/SUM($C$12:$C$14)</f>
        <v>0.33333333333333331</v>
      </c>
      <c r="E13" s="424" t="e">
        <f ca="1">DCF!$P$3+DCF!$P$3*RV!P3</f>
        <v>#VALUE!</v>
      </c>
      <c r="F13" s="326" t="str">
        <f>RV!$P$3</f>
        <v>…</v>
      </c>
    </row>
    <row r="14" spans="2:6" ht="15.75" thickBot="1" x14ac:dyDescent="0.3">
      <c r="B14" s="325" t="s">
        <v>146</v>
      </c>
      <c r="C14" s="313">
        <v>1</v>
      </c>
      <c r="D14" s="311">
        <f t="shared" si="0"/>
        <v>0.33333333333333331</v>
      </c>
      <c r="E14" s="424" t="e">
        <f>SOTP!$N$4</f>
        <v>#DIV/0!</v>
      </c>
      <c r="F14" s="326" t="e">
        <f ca="1">SOTP!$N$5</f>
        <v>#DIV/0!</v>
      </c>
    </row>
    <row r="15" spans="2:6" ht="15.75" thickBot="1" x14ac:dyDescent="0.3">
      <c r="B15" s="317" t="s">
        <v>143</v>
      </c>
      <c r="C15" s="318"/>
      <c r="D15" s="318">
        <v>1</v>
      </c>
      <c r="E15" s="425" t="e">
        <f ca="1">$D$12*E12+$D$13*E13+$D$14*E14</f>
        <v>#DIV/0!</v>
      </c>
      <c r="F15" s="319" t="e">
        <f ca="1">$D$12*F12+$D$13*F13+$D$14*F14</f>
        <v>#DIV/0!</v>
      </c>
    </row>
  </sheetData>
  <mergeCells count="1">
    <mergeCell ref="C9:D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BE29687495E54D95F085C209D25632" ma:contentTypeVersion="13" ma:contentTypeDescription="Crée un document." ma:contentTypeScope="" ma:versionID="d24551e33e7b2c5dc046ecfe74731825">
  <xsd:schema xmlns:xsd="http://www.w3.org/2001/XMLSchema" xmlns:xs="http://www.w3.org/2001/XMLSchema" xmlns:p="http://schemas.microsoft.com/office/2006/metadata/properties" xmlns:ns2="82d2d6bc-04cc-466b-82f8-b1c87ad88323" xmlns:ns3="28c95c2c-5eda-49d9-95e8-a1e2f2589aca" targetNamespace="http://schemas.microsoft.com/office/2006/metadata/properties" ma:root="true" ma:fieldsID="efd51277ec3db6be5a391e3896e2dbda" ns2:_="" ns3:_="">
    <xsd:import namespace="82d2d6bc-04cc-466b-82f8-b1c87ad88323"/>
    <xsd:import namespace="28c95c2c-5eda-49d9-95e8-a1e2f2589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d2d6bc-04cc-466b-82f8-b1c87ad883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7be13759-6d07-4e92-bbbd-a2fd2c6f00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c95c2c-5eda-49d9-95e8-a1e2f2589ac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313c9e61-075e-4a85-a865-761d45a56c50}" ma:internalName="TaxCatchAll" ma:showField="CatchAllData" ma:web="28c95c2c-5eda-49d9-95e8-a1e2f2589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c95c2c-5eda-49d9-95e8-a1e2f2589aca" xsi:nil="true"/>
    <lcf76f155ced4ddcb4097134ff3c332f xmlns="82d2d6bc-04cc-466b-82f8-b1c87ad8832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835DEF-6857-498C-80AB-FCBBF9B80D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d2d6bc-04cc-466b-82f8-b1c87ad88323"/>
    <ds:schemaRef ds:uri="28c95c2c-5eda-49d9-95e8-a1e2f2589a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725894-6341-4656-A549-DE37297E1D60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82d2d6bc-04cc-466b-82f8-b1c87ad88323"/>
    <ds:schemaRef ds:uri="http://purl.org/dc/terms/"/>
    <ds:schemaRef ds:uri="http://schemas.microsoft.com/office/2006/metadata/properties"/>
    <ds:schemaRef ds:uri="http://purl.org/dc/dcmitype/"/>
    <ds:schemaRef ds:uri="28c95c2c-5eda-49d9-95e8-a1e2f2589ac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7B1116E-C625-4D9E-AF40-BD8ADA4144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P&amp;L</vt:lpstr>
      <vt:lpstr>DCF</vt:lpstr>
      <vt:lpstr>RV</vt:lpstr>
      <vt:lpstr>SOTP</vt:lpstr>
      <vt:lpstr>FINAL</vt:lpstr>
      <vt:lpstr>BloomEstimatesInput</vt:lpstr>
      <vt:lpstr>CostOfRev</vt:lpstr>
      <vt:lpstr>FinanceNetIncome</vt:lpstr>
      <vt:lpstr>IncomeTaxBenefit</vt:lpstr>
      <vt:lpstr>NbDilutedSharesOutstanding</vt:lpstr>
      <vt:lpstr>NetIncome_OtherAdjustments</vt:lpstr>
      <vt:lpstr>OperatingExpenses</vt:lpstr>
      <vt:lpstr>OpExp_OtherAdjustments</vt:lpstr>
      <vt:lpstr>TotalRev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Maximilien Delaporte</dc:creator>
  <cp:keywords/>
  <dc:description/>
  <cp:lastModifiedBy>Max Delaporte</cp:lastModifiedBy>
  <cp:revision/>
  <dcterms:created xsi:type="dcterms:W3CDTF">2023-08-17T15:03:44Z</dcterms:created>
  <dcterms:modified xsi:type="dcterms:W3CDTF">2025-02-20T20:58:23Z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0x010100D9264C9DCB148740B1CB217BC5C070FB</vt:lpwstr>
  </property>
  <property fmtid="{D5CDD505-2E9C-101B-9397-08002B2CF9AE}" pid="3" name="MediaServiceImageTags">
    <vt:lpwstr/>
  </property>
</Properties>
</file>